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/>
  <mc:AlternateContent xmlns:mc="http://schemas.openxmlformats.org/markup-compatibility/2006">
    <mc:Choice Requires="x15">
      <x15ac:absPath xmlns:x15ac="http://schemas.microsoft.com/office/spreadsheetml/2010/11/ac" url="C:\memoria-tecnica-app\backend\"/>
    </mc:Choice>
  </mc:AlternateContent>
  <xr:revisionPtr revIDLastSave="0" documentId="13_ncr:1_{04EE22ED-9450-4082-86AE-33E659DE160F}" xr6:coauthVersionLast="47" xr6:coauthVersionMax="47" xr10:uidLastSave="{00000000-0000-0000-0000-000000000000}"/>
  <bookViews>
    <workbookView xWindow="28680" yWindow="-120" windowWidth="29040" windowHeight="15720" tabRatio="663" xr2:uid="{00000000-000D-0000-FFFF-FFFF00000000}"/>
  </bookViews>
  <sheets>
    <sheet name="HUB2" sheetId="6" r:id="rId1"/>
  </sheets>
  <definedNames>
    <definedName name="_xlnm._FilterDatabase" localSheetId="0" hidden="1">'HUB2'!$A$1:$AK$113</definedName>
  </definedNames>
  <calcPr calcId="191028"/>
  <customWorkbookViews>
    <customWorkbookView name="Filtro 1" guid="{0B1C18F8-03D6-48D4-A50B-BF1EDFC553E5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" i="6" l="1"/>
</calcChain>
</file>

<file path=xl/sharedStrings.xml><?xml version="1.0" encoding="utf-8"?>
<sst xmlns="http://schemas.openxmlformats.org/spreadsheetml/2006/main" count="1388" uniqueCount="570">
  <si>
    <t>RAX721-B_HUB02</t>
  </si>
  <si>
    <t>RAX721-A-XF-01-HUB02</t>
  </si>
  <si>
    <t>N/A</t>
  </si>
  <si>
    <t>HUB3</t>
  </si>
  <si>
    <t>HUB4</t>
  </si>
  <si>
    <t>ID MCA</t>
  </si>
  <si>
    <t>NOMBRE CORTO</t>
  </si>
  <si>
    <t>445-3506</t>
  </si>
  <si>
    <t>AGENCIA ADUANAL NOGUEIRA</t>
  </si>
  <si>
    <t>445-48142</t>
  </si>
  <si>
    <t>Courtyard_Mexicali</t>
  </si>
  <si>
    <t>445-67449</t>
  </si>
  <si>
    <t>Nido de los Aguilas</t>
  </si>
  <si>
    <t>445-8</t>
  </si>
  <si>
    <t>CINEMAS GRAN VIA</t>
  </si>
  <si>
    <t>445-11</t>
  </si>
  <si>
    <t>BLACK HAWK</t>
  </si>
  <si>
    <t>445-15</t>
  </si>
  <si>
    <t>RH SOLUTIONS</t>
  </si>
  <si>
    <t>445-23</t>
  </si>
  <si>
    <t>TT ELECTRONICS</t>
  </si>
  <si>
    <t>445-35</t>
  </si>
  <si>
    <t>INTERNATIONAL SUPPLY CHAIN MATRIZ</t>
  </si>
  <si>
    <t>445-88783</t>
  </si>
  <si>
    <t>HERBALIFE</t>
  </si>
  <si>
    <t>445-98942</t>
  </si>
  <si>
    <t>TRES GUERRAS</t>
  </si>
  <si>
    <t>445-41</t>
  </si>
  <si>
    <t>INTERNATIONAL SUPPLY CHAIN ADUANA</t>
  </si>
  <si>
    <t xml:space="preserve"> 445-66171</t>
  </si>
  <si>
    <t>Bachoco Galaxia</t>
  </si>
  <si>
    <t>445-94471</t>
  </si>
  <si>
    <t>Sani Dental</t>
  </si>
  <si>
    <t>445-96082</t>
  </si>
  <si>
    <t>CHIREY GRUPO PREMIER</t>
  </si>
  <si>
    <t>445-17898</t>
  </si>
  <si>
    <t>PETROIL</t>
  </si>
  <si>
    <t>445-13</t>
  </si>
  <si>
    <r>
      <t xml:space="preserve">MASTERWORK </t>
    </r>
    <r>
      <rPr>
        <b/>
        <sz val="11"/>
        <color rgb="FF2C2C4D"/>
        <rFont val="Arial"/>
      </rPr>
      <t>TEC</t>
    </r>
  </si>
  <si>
    <t>445-97118</t>
  </si>
  <si>
    <t>Intransit  Express</t>
  </si>
  <si>
    <t>445-26749</t>
  </si>
  <si>
    <t>ADUANALES DE GALA</t>
  </si>
  <si>
    <t>445-69801</t>
  </si>
  <si>
    <r>
      <t xml:space="preserve">MasterWork  </t>
    </r>
    <r>
      <rPr>
        <b/>
        <sz val="11"/>
        <color rgb="FF000000"/>
        <rFont val="Arial"/>
      </rPr>
      <t>Planta 1</t>
    </r>
  </si>
  <si>
    <t>445-24675</t>
  </si>
  <si>
    <t>MACSTORE</t>
  </si>
  <si>
    <t>445-25716</t>
  </si>
  <si>
    <t>TRANS-MEX</t>
  </si>
  <si>
    <t>445-7938</t>
  </si>
  <si>
    <t>Sleep Inn Mexicali</t>
  </si>
  <si>
    <t>445-41245</t>
  </si>
  <si>
    <t>Subaru</t>
  </si>
  <si>
    <t>445-60501</t>
  </si>
  <si>
    <t>SINERGIA B&amp;M</t>
  </si>
  <si>
    <t>445-42086</t>
  </si>
  <si>
    <t>Autopartes MG Aeropuerto</t>
  </si>
  <si>
    <t>445-60462</t>
  </si>
  <si>
    <t>Austin GIS SEDE Garita Nueva</t>
  </si>
  <si>
    <t>445-62486</t>
  </si>
  <si>
    <t>Labotatorios Pisa</t>
  </si>
  <si>
    <t>445-62936</t>
  </si>
  <si>
    <t>Gepp Mexicali</t>
  </si>
  <si>
    <t>445-89104</t>
  </si>
  <si>
    <t>UNIDAD MOVIL LPM</t>
  </si>
  <si>
    <t>445-71311</t>
  </si>
  <si>
    <t>Expereo Galaxia</t>
  </si>
  <si>
    <t>445-76616</t>
  </si>
  <si>
    <t>Hotel One</t>
  </si>
  <si>
    <t>445-94643</t>
  </si>
  <si>
    <t>Booster Precision</t>
  </si>
  <si>
    <t xml:space="preserve"> 445-104814</t>
  </si>
  <si>
    <t>Motel El Moro</t>
  </si>
  <si>
    <t>ESTATUS</t>
  </si>
  <si>
    <t>MBPS</t>
  </si>
  <si>
    <t>IP CLIENTE</t>
  </si>
  <si>
    <t>RUTA</t>
  </si>
  <si>
    <t xml:space="preserve">EQUIPAMIENTO </t>
  </si>
  <si>
    <t>FECHA DE ENTREGA</t>
  </si>
  <si>
    <t>ACTIVO</t>
  </si>
  <si>
    <t>PUERTO</t>
  </si>
  <si>
    <t>EQUIPO/HOTEL ID</t>
  </si>
  <si>
    <t>IP HUB</t>
  </si>
  <si>
    <t>SERVICIO</t>
  </si>
  <si>
    <t>POTENCIA</t>
  </si>
  <si>
    <t>TIPO SERVICIO</t>
  </si>
  <si>
    <t>BDI</t>
  </si>
  <si>
    <t>BUFFER</t>
  </si>
  <si>
    <t>HILOS</t>
  </si>
  <si>
    <t>PARCHEO</t>
  </si>
  <si>
    <t>LAMBDAS</t>
  </si>
  <si>
    <t>DISTANCIA CLIENTE</t>
  </si>
  <si>
    <t>MARCA CPE</t>
  </si>
  <si>
    <t>MODELO CPE</t>
  </si>
  <si>
    <t>SERIE CPE</t>
  </si>
  <si>
    <t>SERIE SFP HUB</t>
  </si>
  <si>
    <t>SERIE SFP CLIENTE</t>
  </si>
  <si>
    <t>SERIE</t>
  </si>
  <si>
    <t>COMENTARIOS</t>
  </si>
  <si>
    <t>TRONCAL</t>
  </si>
  <si>
    <t>DISPONIBLE GI</t>
  </si>
  <si>
    <t>PAN</t>
  </si>
  <si>
    <t>GigabitEthernet0/0/0/0</t>
  </si>
  <si>
    <t>GigabitEthernet0/0/0/1</t>
  </si>
  <si>
    <t>GigabitEthernet0/0/0/2</t>
  </si>
  <si>
    <t>GigabitEthernet0/0/0/3</t>
  </si>
  <si>
    <t>GigabitEthernet0/0/0/4</t>
  </si>
  <si>
    <t>GigabitEthernet0/0/0/5</t>
  </si>
  <si>
    <t>GigabitEthernet0/0/0/6</t>
  </si>
  <si>
    <t>GigabitEthernet0/0/0/7</t>
  </si>
  <si>
    <t>GigabitEthernet0/0/0/8</t>
  </si>
  <si>
    <t>GigabitEthernet0/0/0/9</t>
  </si>
  <si>
    <t>GigabitEthernet0/0/0/10</t>
  </si>
  <si>
    <t>GigabitEthernet0/0/0/11</t>
  </si>
  <si>
    <t>GigabitEthernet0/0/0/12</t>
  </si>
  <si>
    <t>GigabitEthernet0/0/0/13</t>
  </si>
  <si>
    <t>AZUL</t>
  </si>
  <si>
    <t>GigabitEthernet0/0/0/14</t>
  </si>
  <si>
    <t>GigabitEthernet0/0/0/15</t>
  </si>
  <si>
    <t>IDE</t>
  </si>
  <si>
    <t>CAFE</t>
  </si>
  <si>
    <t>VE/CF</t>
  </si>
  <si>
    <t>1310-1310</t>
  </si>
  <si>
    <t>RAISECOM</t>
  </si>
  <si>
    <t>GigabitEthernet0/0/0/16</t>
  </si>
  <si>
    <t>GigabitEthernet0/0/0/17</t>
  </si>
  <si>
    <t>GigabitEthernet0/0/0/18</t>
  </si>
  <si>
    <t>GigabitEthernet0/0/0/19</t>
  </si>
  <si>
    <t>TenGigabitEthernet0/0/0/20</t>
  </si>
  <si>
    <t>TenGigabitEthernet0/0/0/21</t>
  </si>
  <si>
    <t>TenGigabitEthernet0/0/0/22</t>
  </si>
  <si>
    <t>DISPONIBLE TE</t>
  </si>
  <si>
    <t>TenGigabitEthernet0/0/0/23</t>
  </si>
  <si>
    <t>TenGigabitEthernet0/0/0/24</t>
  </si>
  <si>
    <t>TenGigabitEthernet0/0/0/25</t>
  </si>
  <si>
    <t>TenGigabitEthernet0/0/0/26</t>
  </si>
  <si>
    <t>TenGigabitEthernet0/0/0/27</t>
  </si>
  <si>
    <t>TenGigabitEthernet0/0/0/28</t>
  </si>
  <si>
    <t>TenGigabitEthernet0/0/0/29</t>
  </si>
  <si>
    <t>TenGigabitEthernet0/0/0/30</t>
  </si>
  <si>
    <t>TenGigabitEthernet0/0/0/31</t>
  </si>
  <si>
    <t>VERDE</t>
  </si>
  <si>
    <t>AZ/NA</t>
  </si>
  <si>
    <t>ISCOM2600-12G-AC</t>
  </si>
  <si>
    <t>ISA</t>
  </si>
  <si>
    <t>1550-1550</t>
  </si>
  <si>
    <t>ISCOM2608G-2GE-AC</t>
  </si>
  <si>
    <t>BLANCO</t>
  </si>
  <si>
    <t>30201100683075</t>
  </si>
  <si>
    <t>ROJO</t>
  </si>
  <si>
    <t>1270-1290</t>
  </si>
  <si>
    <t>NEGRO</t>
  </si>
  <si>
    <t>GRIS</t>
  </si>
  <si>
    <t>EC132800290111</t>
  </si>
  <si>
    <t>FORTINET 40F</t>
  </si>
  <si>
    <t>1310-1330</t>
  </si>
  <si>
    <t>(AZ) VE/CA F2</t>
  </si>
  <si>
    <t>Fortigate 40F</t>
  </si>
  <si>
    <t>GR/BL</t>
  </si>
  <si>
    <t>Tengigabitethernet 1/1/1</t>
  </si>
  <si>
    <t>Tengigabitethernet 1/1/2</t>
  </si>
  <si>
    <t>Tengigabitethernet 1/1/3</t>
  </si>
  <si>
    <t>Tengigabitethernet 1/1/4</t>
  </si>
  <si>
    <t>Gigaethernet 1/2/1</t>
  </si>
  <si>
    <t>IP to QAM</t>
  </si>
  <si>
    <t>(AZ) RO F2</t>
  </si>
  <si>
    <t>1350-1370</t>
  </si>
  <si>
    <t>Gigaethernet 1/2/2</t>
  </si>
  <si>
    <t>Gigaethernet 1/2/3</t>
  </si>
  <si>
    <t>Gigaethernet 1/2/4</t>
  </si>
  <si>
    <t>Gigaethernet 1/2/5</t>
  </si>
  <si>
    <t>Gigaethernet 1/2/6</t>
  </si>
  <si>
    <t>Gigaethernet 1/2/7</t>
  </si>
  <si>
    <t>Gigaethernet 1/2/8</t>
  </si>
  <si>
    <t>Gigaethernet 1/2/9</t>
  </si>
  <si>
    <t>Gigaethernet 1/2/10</t>
  </si>
  <si>
    <t>Gigaethernet 1/2/11</t>
  </si>
  <si>
    <t>Gigaethernet 1/2/12</t>
  </si>
  <si>
    <t>Gigaethernet 1/2/13</t>
  </si>
  <si>
    <t>Gigaethernet 1/2/14</t>
  </si>
  <si>
    <t>Gigaethernet 1/2/15</t>
  </si>
  <si>
    <t>Gigaethernet 1/2/16</t>
  </si>
  <si>
    <t>Gigaethernet 1/2/17</t>
  </si>
  <si>
    <t>Gigaethernet 1/2/18</t>
  </si>
  <si>
    <t>Gigaethernet 1/2/19</t>
  </si>
  <si>
    <t>Gigaethernet 1/2/20</t>
  </si>
  <si>
    <t>Gigaethernet 1/2/21</t>
  </si>
  <si>
    <t>Gigaethernet 1/2/22</t>
  </si>
  <si>
    <t>Gigaethernet 1/2/23</t>
  </si>
  <si>
    <t>Gigaethernet 1/2/24</t>
  </si>
  <si>
    <t>Gigaethernet 1/2/25</t>
  </si>
  <si>
    <t>Gigaethernet 1/2/26</t>
  </si>
  <si>
    <t>Gigaethernet 1/2/27</t>
  </si>
  <si>
    <t>Gigaethernet 1/2/28</t>
  </si>
  <si>
    <t>Gigaethernet 1/2/29</t>
  </si>
  <si>
    <t>Gigaethernet 1/2/30</t>
  </si>
  <si>
    <t>Gigaethernet 1/2/31</t>
  </si>
  <si>
    <t>Gigaethernet 1/2/32</t>
  </si>
  <si>
    <t>Gigaethernet 1/2/33</t>
  </si>
  <si>
    <t>Gigaethernet 1/2/34</t>
  </si>
  <si>
    <t>Gigaethernet 1/2/35</t>
  </si>
  <si>
    <t>Gigaethernet 1/2/36</t>
  </si>
  <si>
    <t>Gigaethernet 1/2/37</t>
  </si>
  <si>
    <t>Gigaethernet 1/2/38</t>
  </si>
  <si>
    <t>Gigaethernet 1/2/39</t>
  </si>
  <si>
    <t>Gigaethernet 1/2/40</t>
  </si>
  <si>
    <t>Gigaethernet 1/2/41</t>
  </si>
  <si>
    <t>Gigaethernet 1/2/42</t>
  </si>
  <si>
    <t>Gigaethernet 1/2/43</t>
  </si>
  <si>
    <t>Gigaethernet 1/2/44</t>
  </si>
  <si>
    <t>Gigaethernet 1/2/45</t>
  </si>
  <si>
    <t>Gigaethernet 1/2/46</t>
  </si>
  <si>
    <t>Gigaethernet 1/2/47</t>
  </si>
  <si>
    <t>Gigaethernet 1/2/48</t>
  </si>
  <si>
    <t>IP GESTION</t>
  </si>
  <si>
    <t>RAX721</t>
  </si>
  <si>
    <t>-7.9</t>
  </si>
  <si>
    <t>(AZ) AZ/NA F2</t>
  </si>
  <si>
    <t>01306S21616U0619</t>
  </si>
  <si>
    <t>NARANJA</t>
  </si>
  <si>
    <t>-8.3</t>
  </si>
  <si>
    <t>PAN_NCS540_MXL_HUB2</t>
  </si>
  <si>
    <t>10.4.193.161</t>
  </si>
  <si>
    <t>SMCA1-B-HUB02-MCA-445-3506-2-AGENCIA_ADUANAL_GUILLERMO_NOGUEIRA_Y_ASOCIADOS_SC</t>
  </si>
  <si>
    <t>10.4.193.174</t>
  </si>
  <si>
    <t>189.193.242.188 /30</t>
  </si>
  <si>
    <t>GPON RAMA 14</t>
  </si>
  <si>
    <t>VE/CA</t>
  </si>
  <si>
    <t>R14 GPON</t>
  </si>
  <si>
    <t>101625001011S22414S0117G</t>
  </si>
  <si>
    <t>FC804262012</t>
  </si>
  <si>
    <t>FC804262039</t>
  </si>
  <si>
    <t>FORTIGATE-100F</t>
  </si>
  <si>
    <t>FG100FTK21001572</t>
  </si>
  <si>
    <t>TMCA2-PAN_NCS540_MXL_HUB3_Te0/0/0/25-10.3.18.151_BE2</t>
  </si>
  <si>
    <t>TMCA2-PAN_NCS540_MXL_HUB04-Te0/0/0/26-10.3.18.148_BE4</t>
  </si>
  <si>
    <t>RAX721-A-FX</t>
  </si>
  <si>
    <t>TMCA1-To_AN_HUB02_RAX721-FX_BE7_TE0/0/0/27</t>
  </si>
  <si>
    <t>-2.2</t>
  </si>
  <si>
    <t>TMCA1-PAN_NCS540_MXL_HUB04-Te0/0/0/31-10.3.18.148_BE4</t>
  </si>
  <si>
    <t>TMCA1-To_RAX721-B_HUB02_Te1/1/1_10.4.193.181_BE6</t>
  </si>
  <si>
    <t>-3.1</t>
  </si>
  <si>
    <t>TMCA1-PAN_NCS540_MXL_HUB3_Te0/0/0/30-10.3.18.151_BE2</t>
  </si>
  <si>
    <t xml:space="preserve"> -7.7</t>
  </si>
  <si>
    <t>10.4.193.181</t>
  </si>
  <si>
    <t>PAN HUB02</t>
  </si>
  <si>
    <t>TMCA-TMCA-To_PAN_HUB0conf _NCS540_Po6_Te0/0/0/29</t>
  </si>
  <si>
    <t>SMCA1-A-HUB02-MCA-445-48142-2-OPERADORA_HOTELERA_WONG_S_DE_RL_DE_CV_(Courtyard_Mexicali)</t>
  </si>
  <si>
    <t>IDE + QAM + TKS</t>
  </si>
  <si>
    <t>10.5.178.7    SV 10.5.178.8</t>
  </si>
  <si>
    <t>187.245.196.132 /30 187.245.196.136 /29 TKS 10.4.41.156 /30</t>
  </si>
  <si>
    <t>876,847 SIP</t>
  </si>
  <si>
    <t>GPON RAMA 8</t>
  </si>
  <si>
    <t xml:space="preserve">RAX711 - C - AC </t>
  </si>
  <si>
    <t>123002030402S23303S0002G</t>
  </si>
  <si>
    <t>05 / 07 / 2024</t>
  </si>
  <si>
    <t>N270222AN516</t>
  </si>
  <si>
    <t xml:space="preserve">N084021CE135 </t>
  </si>
  <si>
    <t>SMCA1-B-HUB2-MCA-445-67449-2-Aguilas_de_Mexicali_Estadio</t>
  </si>
  <si>
    <t>-5.24</t>
  </si>
  <si>
    <t>IDE + TKS</t>
  </si>
  <si>
    <t>10.5.178.14</t>
  </si>
  <si>
    <t>187.245.196.220 /30</t>
  </si>
  <si>
    <t>GPON RAMA 4</t>
  </si>
  <si>
    <t>(NA) GR/BL F2</t>
  </si>
  <si>
    <t>123002030402A24418A0007G</t>
  </si>
  <si>
    <t>APRS22240000195</t>
  </si>
  <si>
    <t>00101S22629U0195</t>
  </si>
  <si>
    <t>SMCA1-AAA-MXL-MCA-445-8-Cinemas_La_Via</t>
  </si>
  <si>
    <t>10.4.193.162</t>
  </si>
  <si>
    <t>189.193.242.16 /30</t>
  </si>
  <si>
    <t>GPON RAMA 7</t>
  </si>
  <si>
    <t>DIRECTO</t>
  </si>
  <si>
    <t>5.400 Km</t>
  </si>
  <si>
    <t>101625001010S21810S0187G</t>
  </si>
  <si>
    <t>01306S21719U0005</t>
  </si>
  <si>
    <t>01306S21719U0004</t>
  </si>
  <si>
    <t>SONICWALL en el puerto X1 y el cable que esté conectado al X1 pasarlo al X2</t>
  </si>
  <si>
    <t>SMCA1-AAA-MXL-MCA-445-11-BLACK_HAWK</t>
  </si>
  <si>
    <t>10.4.193.163</t>
  </si>
  <si>
    <t>189.193.242.44 /30</t>
  </si>
  <si>
    <t>101625001010S21810S0184G</t>
  </si>
  <si>
    <t>01306B16C09B0617</t>
  </si>
  <si>
    <t>01306S20424U2592</t>
  </si>
  <si>
    <t>Cisco Meraki MX67W</t>
  </si>
  <si>
    <t>Q2GY-SFXA-D5S7</t>
  </si>
  <si>
    <t>SMCA1-B-HUB02-MCA-445-15-RH_SOLUTIONS_DE_AGUA_PRIETA</t>
  </si>
  <si>
    <t>10.4.193.164</t>
  </si>
  <si>
    <t>189.193.242.60 /30</t>
  </si>
  <si>
    <t>4,779 KM</t>
  </si>
  <si>
    <t>101625001010S21810S0365G</t>
  </si>
  <si>
    <t>01306S21719U1121</t>
  </si>
  <si>
    <t>01306S21719U0003</t>
  </si>
  <si>
    <t>fortinet 40f</t>
  </si>
  <si>
    <t>FGT40FTK2209ASTJ</t>
  </si>
  <si>
    <t>SMCA1-A-HUB02-MCA-455-23-2-TT_ELECTRONICS</t>
  </si>
  <si>
    <t>10.4.193.165</t>
  </si>
  <si>
    <t>189.193.242.84 /30  187.245.196.32/30</t>
  </si>
  <si>
    <t>MXL-H02-R14-T1-MUX1</t>
  </si>
  <si>
    <t>5647 m hasta el HUB2</t>
  </si>
  <si>
    <t>101625001010S21810S0043G</t>
  </si>
  <si>
    <t>MX10116</t>
  </si>
  <si>
    <t>MX10117</t>
  </si>
  <si>
    <t>FGT40FTK2109CGUY</t>
  </si>
  <si>
    <t>SMCA1-B-HUB02-MCA-445-35-2-INTERNATIONAL_SUPPLY_CHAIN</t>
  </si>
  <si>
    <t>10.4.193.168</t>
  </si>
  <si>
    <t>189.193.242.104 /30</t>
  </si>
  <si>
    <t>1390-1410</t>
  </si>
  <si>
    <t>50 m hasta el OADM</t>
  </si>
  <si>
    <t>101625001010S21810S0061G</t>
  </si>
  <si>
    <t>FC804260879</t>
  </si>
  <si>
    <t>MX10122</t>
  </si>
  <si>
    <t>FGT40FTK22099HEB</t>
  </si>
  <si>
    <t>SMCA1-A-HUB02-MCA-445-88783-GTT_Communications_Herbalife-RT03-08-01,02</t>
  </si>
  <si>
    <t>-9.39</t>
  </si>
  <si>
    <t>10.5.178.19 </t>
  </si>
  <si>
    <t xml:space="preserve"> 201.132.42.60 /30   201.132.42.64 /29</t>
  </si>
  <si>
    <t>GPON RAMA 3</t>
  </si>
  <si>
    <t>4.365 KM</t>
  </si>
  <si>
    <t>101625004400A24802A0028G</t>
  </si>
  <si>
    <t>01306S21616U1611</t>
  </si>
  <si>
    <t>30201100680331</t>
  </si>
  <si>
    <t>SMCA1-B-HUB02-MCA-445-98942-Autotransportes_Tresguerras-RT08-02-05</t>
  </si>
  <si>
    <t>10.5.178.24</t>
  </si>
  <si>
    <t>201.132.42.108 /30</t>
  </si>
  <si>
    <t>GPON RAMA 12</t>
  </si>
  <si>
    <t>(NA)GR F2</t>
  </si>
  <si>
    <t>101625004400A25A13A0167G</t>
  </si>
  <si>
    <t>240420HW2876</t>
  </si>
  <si>
    <t>SMCA1-B-HUB02-MCA-445-41-2-INTERNATIONAL_SUPPLY_CHAIN</t>
  </si>
  <si>
    <t>10.4.193.170</t>
  </si>
  <si>
    <t>189.193.242.120 /30</t>
  </si>
  <si>
    <t>173 m  hasta el OADM</t>
  </si>
  <si>
    <t>101625001011S22414S0087G</t>
  </si>
  <si>
    <t>MX10119</t>
  </si>
  <si>
    <t>MX10120</t>
  </si>
  <si>
    <t>FGT40FTK2209AD3N</t>
  </si>
  <si>
    <t>SMCA1-AAA-HUB02-MCA- 445-66171-BACHOCO-Galaxia</t>
  </si>
  <si>
    <t xml:space="preserve"> -11.71</t>
  </si>
  <si>
    <t>10.5.178.3</t>
  </si>
  <si>
    <t>187.245.196.96 /30</t>
  </si>
  <si>
    <t>GPON RAMA 9</t>
  </si>
  <si>
    <t>4.2km</t>
  </si>
  <si>
    <t>101625001011S22521S0908G</t>
  </si>
  <si>
    <t xml:space="preserve">FGT40FTK2209BALA
</t>
  </si>
  <si>
    <t>30106108746831</t>
  </si>
  <si>
    <t>FGT40FTK2209BALA</t>
  </si>
  <si>
    <t>SMCA1-B-HUB02-MCA-445-94471-Sani_Dental-RT07-03-05-06</t>
  </si>
  <si>
    <t>-9.4</t>
  </si>
  <si>
    <t>10.5.178.20</t>
  </si>
  <si>
    <t>201.132.42.88/30</t>
  </si>
  <si>
    <t>(AZ) GR/BL F2</t>
  </si>
  <si>
    <t>101625004400A24803A0216G</t>
  </si>
  <si>
    <t>102215001306521616U3267P</t>
  </si>
  <si>
    <t>SMCA1-B-HUB2-MCA-445-Chirey_Grupo_Premier-RT14-04-06</t>
  </si>
  <si>
    <t xml:space="preserve"> -12.6</t>
  </si>
  <si>
    <t>10.5.178.21</t>
  </si>
  <si>
    <t>201.132.42.92 /30</t>
  </si>
  <si>
    <t>888, 820</t>
  </si>
  <si>
    <t>RO</t>
  </si>
  <si>
    <t>(NA) RO F2</t>
  </si>
  <si>
    <t>9.8 km</t>
  </si>
  <si>
    <t>101625004400A24802A0071G</t>
  </si>
  <si>
    <t>230330HW1405</t>
  </si>
  <si>
    <t>230330HW1736</t>
  </si>
  <si>
    <t>PTE</t>
  </si>
  <si>
    <t>TELEFONIA POR CABLE HUB2</t>
  </si>
  <si>
    <t>445-8124</t>
  </si>
  <si>
    <t>SMCA1-B-HUB02-MCA-445-8124-2-TELEFONIA_POR_CABLE_HUB2-01,02</t>
  </si>
  <si>
    <t>10.4.193.178</t>
  </si>
  <si>
    <t>187.245.196.0 /30</t>
  </si>
  <si>
    <t>10m</t>
  </si>
  <si>
    <t>1016250011010S21810S0358G</t>
  </si>
  <si>
    <t>17/'4/2023</t>
  </si>
  <si>
    <t>01306S21719U1109</t>
  </si>
  <si>
    <t>102215001306S21719U1110P</t>
  </si>
  <si>
    <t>SMCA1-AAA-HUB02-MCA-445-17898-ABASTECEDORA_DE_COMBUSTIBLES</t>
  </si>
  <si>
    <t>10.4.193.180</t>
  </si>
  <si>
    <t>187.245.196.40 /30</t>
  </si>
  <si>
    <t>10.2KM</t>
  </si>
  <si>
    <t>101625001011S22518S0111G</t>
  </si>
  <si>
    <t>01306S21719U1129</t>
  </si>
  <si>
    <t>01306S21719U1128</t>
  </si>
  <si>
    <t>SMCA1-B-HUB2-MCA-445-13-masterwork_electronics</t>
  </si>
  <si>
    <t>10.4.193.182</t>
  </si>
  <si>
    <t>189.193.242.52 /30</t>
  </si>
  <si>
    <t>9.057 km</t>
  </si>
  <si>
    <t>101625001010S21810S0001G</t>
  </si>
  <si>
    <t>01306S21719U1124</t>
  </si>
  <si>
    <t>01306S21719U1123</t>
  </si>
  <si>
    <t>SMCA1-A-HUB2-MCA-445-97118-Intransit_Express_Delivery-RT14-03-06</t>
  </si>
  <si>
    <t>-5.04</t>
  </si>
  <si>
    <t>10.5.178.22</t>
  </si>
  <si>
    <t>201.132.42.100 /30</t>
  </si>
  <si>
    <t>9980 km</t>
  </si>
  <si>
    <t>101625004400A24802A0091G</t>
  </si>
  <si>
    <t>FC804260688</t>
  </si>
  <si>
    <t>SMCA1-B-HUB02-MCA-445-26749-SERVICIOS_ADUANALES_DE_GALA</t>
  </si>
  <si>
    <t>10.4.193.179</t>
  </si>
  <si>
    <t>187.245.196.60 /30</t>
  </si>
  <si>
    <t>1430-1450</t>
  </si>
  <si>
    <t>5.302KM</t>
  </si>
  <si>
    <t>101625001011S22521S0889G</t>
  </si>
  <si>
    <t>MX10123</t>
  </si>
  <si>
    <t>MX10124</t>
  </si>
  <si>
    <t>N/AFGT40FTK2209DPL7</t>
  </si>
  <si>
    <t>..</t>
  </si>
  <si>
    <t>SMCA1-B-HUB02-MCA-445-69801-MASTERWORK_ELECTRONICS_DE_MEXICO_PLANTA_1</t>
  </si>
  <si>
    <t>-7.6</t>
  </si>
  <si>
    <t>10.5.178.15</t>
  </si>
  <si>
    <t>189.193.242.196/30 189.193.242.216/30</t>
  </si>
  <si>
    <t>GR</t>
  </si>
  <si>
    <t>MXL-H02-R12-T2</t>
  </si>
  <si>
    <t>101625004400A24802A0082G</t>
  </si>
  <si>
    <t>00307S23C07U0452</t>
  </si>
  <si>
    <t>00307S23C07U0457</t>
  </si>
  <si>
    <t>SMCA1-B-HUB02-MCA-445-24675-Sistemas_Empresariales_Dabo</t>
  </si>
  <si>
    <t>10.4.193.185</t>
  </si>
  <si>
    <t>187.245.196.52 /30</t>
  </si>
  <si>
    <t>3.219KM</t>
  </si>
  <si>
    <t>101625001020A23705A0035G</t>
  </si>
  <si>
    <t>01306S21719U1957</t>
  </si>
  <si>
    <t>SMCA1-B-HUB02-MCA-445-25716-TRANS-MEX</t>
  </si>
  <si>
    <t xml:space="preserve"> 10.5.178.2</t>
  </si>
  <si>
    <t>187.245.196.68 /30</t>
  </si>
  <si>
    <t>13.350KM</t>
  </si>
  <si>
    <t>101625001020A23706A0202G</t>
  </si>
  <si>
    <t>30106108746836</t>
  </si>
  <si>
    <t>30106108746839</t>
  </si>
  <si>
    <t>SMCA1-B-HUB02-MCA-445-7938-2-SLEEP_INN_MEXICALI</t>
  </si>
  <si>
    <t>ISA + TK SIP+QAM</t>
  </si>
  <si>
    <t>10.5.178.4 // SV 10.5.178.5 // TKS 10.4.41.149</t>
  </si>
  <si>
    <t>187.245.196.20 /30</t>
  </si>
  <si>
    <t>848, 874</t>
  </si>
  <si>
    <t>9.671KM</t>
  </si>
  <si>
    <t>101625001011S22518S0032G</t>
  </si>
  <si>
    <t>FGT40FTK2209DPUD</t>
  </si>
  <si>
    <t>SMCA1-B-HUB2-MCA-445-41245-SUBARU</t>
  </si>
  <si>
    <t>-9.3</t>
  </si>
  <si>
    <t>10.4.193.172</t>
  </si>
  <si>
    <t>189.193.242.116 /30</t>
  </si>
  <si>
    <t>4.866 Km</t>
  </si>
  <si>
    <t>101625004400A23B15A0139G</t>
  </si>
  <si>
    <t>MNC213600241</t>
  </si>
  <si>
    <t>Cinco Tribus</t>
  </si>
  <si>
    <t>445-51426</t>
  </si>
  <si>
    <t>SMCA1-B-HUB2-MCA-445-51426-BOTANERO_CINCO_TRIBUS</t>
  </si>
  <si>
    <t>SMCA1-AAA-HUB2-MCA-445-60501-SINERGIA_B&amp;M</t>
  </si>
  <si>
    <t>10.5.178.10</t>
  </si>
  <si>
    <t>187.245.196.188/30</t>
  </si>
  <si>
    <t>GPON RAMA 5</t>
  </si>
  <si>
    <t>5.043 Km</t>
  </si>
  <si>
    <t>101625004400A23B27A0103G</t>
  </si>
  <si>
    <t>01306S21719U1170</t>
  </si>
  <si>
    <t>01306S21719U0119</t>
  </si>
  <si>
    <t>FGT40FTK2209GF0</t>
  </si>
  <si>
    <t>SMCA1-B-HUB2-MCA-445-42086-Autopartes_MG</t>
  </si>
  <si>
    <t>10.5.178.6</t>
  </si>
  <si>
    <t>189.193.242.252 /30</t>
  </si>
  <si>
    <t>12,290 KM</t>
  </si>
  <si>
    <t>101625001011S22521S1391G</t>
  </si>
  <si>
    <t>30201100683072</t>
  </si>
  <si>
    <t>01306S21719U1959</t>
  </si>
  <si>
    <t>SMCA1-A-HUB02-MCA-445-60462-Austin_GIS_Garita_Nueva</t>
  </si>
  <si>
    <t>-9.8</t>
  </si>
  <si>
    <t>10.4.193.173</t>
  </si>
  <si>
    <t>187.245.196.184/30</t>
  </si>
  <si>
    <t>1470-1490</t>
  </si>
  <si>
    <t>1173 m OADM</t>
  </si>
  <si>
    <t>101625001011S22414S0006G</t>
  </si>
  <si>
    <t>FC804261455</t>
  </si>
  <si>
    <t>FC804261612</t>
  </si>
  <si>
    <t>SMCA1-A-HUB02-MCA-445-62486-LABORATORIOS_PISA</t>
  </si>
  <si>
    <t>-8.9</t>
  </si>
  <si>
    <t>10.5.178.11</t>
  </si>
  <si>
    <t>187.245.196.204 /30</t>
  </si>
  <si>
    <t>GPON RAMA 2</t>
  </si>
  <si>
    <t>(AZ) AZ/NA F3</t>
  </si>
  <si>
    <t>2,5 km</t>
  </si>
  <si>
    <t>101625004400A23B28A0175G</t>
  </si>
  <si>
    <t>MNC213600526</t>
  </si>
  <si>
    <t>01306S21719U1169</t>
  </si>
  <si>
    <t>SMCA1-AAA-HUB02-MCA-445-62936-2-MCM_GEPP_MEXICALI</t>
  </si>
  <si>
    <t>-13.7</t>
  </si>
  <si>
    <t>LPE</t>
  </si>
  <si>
    <t>10.5.178.12</t>
  </si>
  <si>
    <t>1510-1530</t>
  </si>
  <si>
    <t>8,751 km</t>
  </si>
  <si>
    <t>101625001020A23706A0021G</t>
  </si>
  <si>
    <t>FC204092338</t>
  </si>
  <si>
    <t>FC80919162</t>
  </si>
  <si>
    <t>SMCA1-B-HUB02-MCA-445-89104-2-MEGA_Unidad_Movil_Nido_Aguilas-RT04-06-03,04</t>
  </si>
  <si>
    <t>10.5.178.13</t>
  </si>
  <si>
    <t>187.245.196.216 /30</t>
  </si>
  <si>
    <t>101625001020A23706A0002G     101625004400A24802A0111G</t>
  </si>
  <si>
    <t>01306S21719U0009</t>
  </si>
  <si>
    <t>01306S21816U1076</t>
  </si>
  <si>
    <t>SMCA1-AAA-HUB02-MCA-445-71311-EXPEREO_DE_MEXICO</t>
  </si>
  <si>
    <t>-3.5</t>
  </si>
  <si>
    <t>10.5.178.16</t>
  </si>
  <si>
    <t>201.132.42.0 /30 201.132.42.8 /29</t>
  </si>
  <si>
    <t>MXL-H02-R09-T3-MUX1</t>
  </si>
  <si>
    <t>101625004400A24802A0090G</t>
  </si>
  <si>
    <t>FC910310202</t>
  </si>
  <si>
    <t>SD2760688</t>
  </si>
  <si>
    <t>SMCA1-B-HUB2-MCA-445-76616-Hotel_One</t>
  </si>
  <si>
    <t>10.5.178.17</t>
  </si>
  <si>
    <t>10.5.178.18</t>
  </si>
  <si>
    <t>(NA) VE/CA F3               (AZ) VE/CA F2</t>
  </si>
  <si>
    <t>101625004400A24803A0190G</t>
  </si>
  <si>
    <t>30201100680365</t>
  </si>
  <si>
    <t>30201100680369</t>
  </si>
  <si>
    <t>SMCA1-B-HUB2-MCA-445-94643-Booster_Precision-RT09-03-05</t>
  </si>
  <si>
    <t>-10.08</t>
  </si>
  <si>
    <t>10.5.178.23</t>
  </si>
  <si>
    <t>201.132.42.104 /30</t>
  </si>
  <si>
    <t>101625004400A25A13A0136G</t>
  </si>
  <si>
    <t xml:space="preserve"> MX10119 </t>
  </si>
  <si>
    <t>SMCA1-B-HUB02-MCA-445-104814-Motel-El-Moro_RT14-05-06,07</t>
  </si>
  <si>
    <t>-10.27</t>
  </si>
  <si>
    <t>10.5.178.25</t>
  </si>
  <si>
    <t>10.5.178.26</t>
  </si>
  <si>
    <t>BL/RO</t>
  </si>
  <si>
    <t>(AZ) AM/VI F2</t>
  </si>
  <si>
    <t>101625004400A25A13A0146G</t>
  </si>
  <si>
    <t>01306S21616U3894</t>
  </si>
  <si>
    <t>01306S21616U3269</t>
  </si>
  <si>
    <t>Grumesa ppal</t>
  </si>
  <si>
    <t>445-106608</t>
  </si>
  <si>
    <t>SMCA1-B-HUB2-MCA-445-106608-Grumesa_Ppal</t>
  </si>
  <si>
    <t>10.5.178.27</t>
  </si>
  <si>
    <t>189.193.242.176/30</t>
  </si>
  <si>
    <t>GPON RAMA 13</t>
  </si>
  <si>
    <t>(NA) VE F1</t>
  </si>
  <si>
    <t>Grumesa sec</t>
  </si>
  <si>
    <t>445-106610</t>
  </si>
  <si>
    <t>SMCA1-B-HUB2-MCA-445-106610-Grumesa_Sec</t>
  </si>
  <si>
    <t>10.5.178.28</t>
  </si>
  <si>
    <t>189.193.242.180 /30</t>
  </si>
  <si>
    <t>10.4.193.169</t>
  </si>
  <si>
    <t>TMCA1-To_PAN_HUB02conf_NCS540_Po7_Te0/0/0/27[NO_CONFIGURAR]</t>
  </si>
  <si>
    <t>Tengigabitethernet 1/2/1</t>
  </si>
  <si>
    <t>Tengigabitethernet 1/2/2</t>
  </si>
  <si>
    <t>Tengigabitethernet 1/2/3</t>
  </si>
  <si>
    <t>Tengigabitethernet 1/2/4</t>
  </si>
  <si>
    <t>Tengigabitethernet 1/2/5</t>
  </si>
  <si>
    <t>Tengigabitethernet 1/2/6</t>
  </si>
  <si>
    <t>Tengigabitethernet 1/2/7</t>
  </si>
  <si>
    <t>Tengigabitethernet 1/2/8</t>
  </si>
  <si>
    <t>Tengigabitethernet 1/2/9</t>
  </si>
  <si>
    <t>Tengigabitethernet 1/2/10</t>
  </si>
  <si>
    <t>Tengigabitethernet 1/2/11</t>
  </si>
  <si>
    <t>Tengigabitethernet 1/2/12</t>
  </si>
  <si>
    <t>Tengigabitethernet 1/2/13</t>
  </si>
  <si>
    <t>Tengigabitethernet 1/2/14</t>
  </si>
  <si>
    <t>Tengigabitethernet 1/2/15</t>
  </si>
  <si>
    <t>Tengigabitethernet 1/2/16</t>
  </si>
  <si>
    <t>Tengigabitethernet 1/2/17</t>
  </si>
  <si>
    <t>Tengigabitethernet 1/2/18</t>
  </si>
  <si>
    <t>Tengigabitethernet 1/2/19</t>
  </si>
  <si>
    <t>Tengigabitethernet 1/2/20</t>
  </si>
  <si>
    <t>Tengigabitethernet 1/2/21</t>
  </si>
  <si>
    <t>Tengigabitethernet 1/2/22</t>
  </si>
  <si>
    <t>Tengigabitethernet 1/2/23</t>
  </si>
  <si>
    <t>Tengigabitethernet 1/2/24</t>
  </si>
  <si>
    <t>DIRECCIÓN</t>
  </si>
  <si>
    <t>COORDENADAS</t>
  </si>
  <si>
    <t>TIPO DE PUERTO</t>
  </si>
  <si>
    <t>TenGigabit</t>
  </si>
  <si>
    <t>Gigabit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</si>
</sst>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1" x14ac:knownFonts="1">
    <font>
      <sz val="10"/>
      <color rgb="FF000000"/>
      <name val="Verdana"/>
      <scheme val="minor"/>
    </font>
    <font>
      <b/>
      <sz val="10"/>
      <color theme="1"/>
      <name val="Arial"/>
    </font>
    <font>
      <b/>
      <sz val="10"/>
      <color rgb="FF2C2C4D"/>
      <name val="Verdana"/>
      <scheme val="minor"/>
    </font>
    <font>
      <sz val="10"/>
      <color theme="1"/>
      <name val="Arial"/>
    </font>
    <font>
      <sz val="11"/>
      <color theme="1"/>
      <name val="Arial"/>
    </font>
    <font>
      <sz val="10"/>
      <color rgb="FF2C2C4D"/>
      <name val="Arial"/>
    </font>
    <font>
      <sz val="10"/>
      <color rgb="FF000000"/>
      <name val="Arial"/>
    </font>
    <font>
      <sz val="10"/>
      <color rgb="FF222222"/>
      <name val="Arial"/>
    </font>
    <font>
      <sz val="8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11"/>
      <color rgb="FF000000"/>
      <name val="Arial"/>
    </font>
    <font>
      <sz val="10"/>
      <color rgb="FF1F1F1F"/>
      <name val="Arial"/>
    </font>
    <font>
      <u/>
      <sz val="10"/>
      <color theme="10"/>
      <name val="Verdana"/>
      <scheme val="minor"/>
    </font>
    <font>
      <b/>
      <sz val="11"/>
      <color rgb="FF000000"/>
      <name val="Arial"/>
    </font>
    <font>
      <b/>
      <sz val="11"/>
      <color rgb="FF2C2C4D"/>
      <name val="Arial"/>
    </font>
    <font>
      <b/>
      <sz val="10"/>
      <color rgb="FF2C2C4D"/>
      <name val="Arial"/>
    </font>
    <font>
      <sz val="10"/>
      <name val="Arial"/>
    </font>
    <font>
      <sz val="11"/>
      <color rgb="FF242424"/>
      <name val="Arial"/>
    </font>
    <font>
      <b/>
      <sz val="9"/>
      <color rgb="FF2C2C4D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EFF00"/>
        <bgColor indexed="64"/>
      </patternFill>
    </fill>
    <fill>
      <patternFill patternType="solid">
        <fgColor theme="0"/>
        <bgColor rgb="FF00FF00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1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0" xfId="0" applyFont="1"/>
    <xf numFmtId="0" fontId="3" fillId="3" borderId="6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1" fillId="0" borderId="0" xfId="0" applyFont="1"/>
    <xf numFmtId="0" fontId="9" fillId="4" borderId="2" xfId="0" applyFont="1" applyFill="1" applyBorder="1" applyAlignment="1">
      <alignment horizontal="center" vertical="center" wrapText="1"/>
    </xf>
    <xf numFmtId="49" fontId="17" fillId="4" borderId="2" xfId="0" applyNumberFormat="1" applyFont="1" applyFill="1" applyBorder="1" applyAlignment="1">
      <alignment horizontal="center" vertical="center" wrapText="1"/>
    </xf>
    <xf numFmtId="49" fontId="6" fillId="0" borderId="0" xfId="0" applyNumberFormat="1" applyFont="1"/>
    <xf numFmtId="0" fontId="19" fillId="0" borderId="2" xfId="0" applyFont="1" applyBorder="1"/>
    <xf numFmtId="0" fontId="6" fillId="6" borderId="0" xfId="0" applyFont="1" applyFill="1"/>
    <xf numFmtId="0" fontId="9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4" fontId="3" fillId="6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8" fillId="0" borderId="5" xfId="0" applyFont="1" applyBorder="1"/>
    <xf numFmtId="0" fontId="18" fillId="6" borderId="5" xfId="0" applyFont="1" applyFill="1" applyBorder="1"/>
    <xf numFmtId="0" fontId="18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6" fillId="0" borderId="7" xfId="0" applyFont="1" applyBorder="1"/>
  </cellXfs>
  <cellStyles count="2">
    <cellStyle name="Hyperlink" xfId="1" xr:uid="{00000000-000B-0000-0000-000008000000}"/>
    <cellStyle name="Normal" xfId="0" builtinId="0"/>
  </cellStyles>
  <dxfs count="1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6">
    <tableStyle name="CONTACTOS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MIG port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MICROWAVE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Cabezales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EQUIPAMIENTO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EQUIPAMIENTO-style 2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colors>
    <mruColors>
      <color rgb="FFBFBFBF"/>
      <color rgb="FFD9D9D9"/>
      <color rgb="FF1EFF00"/>
      <color rgb="FFCCCCCC"/>
      <color rgb="FFBDBDBD"/>
      <color rgb="FFB5E1CE"/>
      <color rgb="FF1111F0"/>
      <color rgb="FFA0F2BF"/>
      <color rgb="FFA7E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23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ctor Uribe Montaño" id="{6C433550-304D-4B03-A0FD-4C1F4A151C17}" userId="S::huribe@mcmtechco.com::906e9719-52d1-4f5f-92df-e1f02034826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rldefense.com/v3/__http:/187.245.196.216__;!!AU8yinpf-o8!OQtA7b7FD7_hm5paFYKz7GWwAO9j5tUTnzX0FBETJHpreiRTtqcgcMp82VhplutkKywuVzwNlYx4f3NQVGfEVlC6Keg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K139"/>
  <sheetViews>
    <sheetView tabSelected="1" zoomScaleNormal="100" workbookViewId="0">
      <pane ySplit="1" topLeftCell="A2" activePane="bottomLeft" state="frozen"/>
      <selection activeCell="J1" sqref="J1"/>
      <selection pane="bottomLeft" activeCell="B91" sqref="B91"/>
    </sheetView>
  </sheetViews>
  <sheetFormatPr baseColWidth="10" defaultColWidth="0" defaultRowHeight="15.75" customHeight="1" zeroHeight="1" x14ac:dyDescent="0.2"/>
  <cols>
    <col min="1" max="2" width="12.125" style="47" customWidth="1"/>
    <col min="3" max="3" width="20.25" style="57" customWidth="1"/>
    <col min="4" max="4" width="20" style="47" customWidth="1"/>
    <col min="5" max="5" width="10.375" style="47" customWidth="1"/>
    <col min="6" max="6" width="27.25" style="47" customWidth="1"/>
    <col min="7" max="7" width="10" style="47" customWidth="1"/>
    <col min="8" max="8" width="50.75" style="47" customWidth="1"/>
    <col min="9" max="9" width="9.5" style="47" customWidth="1"/>
    <col min="10" max="12" width="11.25" style="47" customWidth="1"/>
    <col min="13" max="13" width="21.125" style="47" customWidth="1"/>
    <col min="14" max="14" width="11.25" style="47" customWidth="1"/>
    <col min="15" max="15" width="14.125" style="47" customWidth="1"/>
    <col min="16" max="17" width="11.25" style="47" customWidth="1"/>
    <col min="18" max="18" width="17.625" style="47" customWidth="1"/>
    <col min="19" max="19" width="11.25" style="47" customWidth="1"/>
    <col min="20" max="20" width="14.375" style="47" customWidth="1"/>
    <col min="21" max="21" width="11.25" style="47" customWidth="1"/>
    <col min="22" max="22" width="16.625" style="47" customWidth="1"/>
    <col min="23" max="23" width="24.25" style="47" customWidth="1"/>
    <col min="24" max="24" width="11.25" style="47" customWidth="1"/>
    <col min="25" max="25" width="19" style="60" customWidth="1"/>
    <col min="26" max="26" width="25.5" style="60" customWidth="1"/>
    <col min="27" max="27" width="11.25" style="47" customWidth="1"/>
    <col min="28" max="28" width="20.25" style="47" customWidth="1"/>
    <col min="29" max="31" width="13.75" style="47" customWidth="1"/>
    <col min="32" max="32" width="11.25" style="47" hidden="1" customWidth="1"/>
    <col min="33" max="16384" width="0" style="47" hidden="1"/>
  </cols>
  <sheetData>
    <row r="1" spans="1:32" ht="25.5" x14ac:dyDescent="0.2">
      <c r="A1" s="58" t="s">
        <v>73</v>
      </c>
      <c r="B1" s="78" t="s">
        <v>567</v>
      </c>
      <c r="C1" s="56" t="s">
        <v>80</v>
      </c>
      <c r="D1" s="58" t="s">
        <v>81</v>
      </c>
      <c r="E1" s="55" t="s">
        <v>82</v>
      </c>
      <c r="F1" s="56" t="s">
        <v>6</v>
      </c>
      <c r="G1" s="56" t="s">
        <v>5</v>
      </c>
      <c r="H1" s="56" t="s">
        <v>83</v>
      </c>
      <c r="I1" s="56" t="s">
        <v>84</v>
      </c>
      <c r="J1" s="55" t="s">
        <v>85</v>
      </c>
      <c r="K1" s="56" t="s">
        <v>74</v>
      </c>
      <c r="L1" s="1" t="s">
        <v>214</v>
      </c>
      <c r="M1" s="55" t="s">
        <v>75</v>
      </c>
      <c r="N1" s="55" t="s">
        <v>86</v>
      </c>
      <c r="O1" s="56" t="s">
        <v>76</v>
      </c>
      <c r="P1" s="56" t="s">
        <v>87</v>
      </c>
      <c r="Q1" s="56" t="s">
        <v>88</v>
      </c>
      <c r="R1" s="56" t="s">
        <v>89</v>
      </c>
      <c r="S1" s="56" t="s">
        <v>90</v>
      </c>
      <c r="T1" s="55" t="s">
        <v>91</v>
      </c>
      <c r="U1" s="55" t="s">
        <v>92</v>
      </c>
      <c r="V1" s="55" t="s">
        <v>93</v>
      </c>
      <c r="W1" s="55" t="s">
        <v>94</v>
      </c>
      <c r="X1" s="56" t="s">
        <v>78</v>
      </c>
      <c r="Y1" s="59" t="s">
        <v>95</v>
      </c>
      <c r="Z1" s="59" t="s">
        <v>96</v>
      </c>
      <c r="AA1" s="56" t="s">
        <v>77</v>
      </c>
      <c r="AB1" s="56" t="s">
        <v>97</v>
      </c>
      <c r="AC1" s="56" t="s">
        <v>98</v>
      </c>
      <c r="AD1" s="56" t="s">
        <v>565</v>
      </c>
      <c r="AE1" s="56" t="s">
        <v>566</v>
      </c>
      <c r="AF1" s="56">
        <f>SUM(K2:K85)</f>
        <v>7980</v>
      </c>
    </row>
    <row r="2" spans="1:32" ht="20.25" customHeight="1" x14ac:dyDescent="0.2">
      <c r="A2" s="18" t="s">
        <v>100</v>
      </c>
      <c r="B2" s="79" t="s">
        <v>568</v>
      </c>
      <c r="C2" s="19" t="s">
        <v>102</v>
      </c>
      <c r="D2" s="19" t="s">
        <v>221</v>
      </c>
      <c r="E2" s="2" t="s">
        <v>222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8"/>
      <c r="Z2" s="38"/>
      <c r="AA2" s="3"/>
      <c r="AB2" s="3"/>
      <c r="AC2" s="3"/>
      <c r="AD2" s="3"/>
      <c r="AE2" s="3"/>
      <c r="AF2" s="74"/>
    </row>
    <row r="3" spans="1:32" ht="21" customHeight="1" x14ac:dyDescent="0.2">
      <c r="A3" s="18" t="s">
        <v>100</v>
      </c>
      <c r="B3" s="79" t="s">
        <v>568</v>
      </c>
      <c r="C3" s="20" t="s">
        <v>103</v>
      </c>
      <c r="D3" s="20" t="s">
        <v>221</v>
      </c>
      <c r="E3" s="72" t="s">
        <v>222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"/>
      <c r="Y3" s="37"/>
      <c r="Z3" s="37"/>
      <c r="AA3" s="73"/>
      <c r="AB3" s="73"/>
      <c r="AC3" s="73"/>
      <c r="AD3" s="73"/>
      <c r="AE3" s="73"/>
      <c r="AF3" s="75"/>
    </row>
    <row r="4" spans="1:32" ht="21" customHeight="1" x14ac:dyDescent="0.2">
      <c r="A4" s="18" t="s">
        <v>100</v>
      </c>
      <c r="B4" s="79" t="s">
        <v>568</v>
      </c>
      <c r="C4" s="19" t="s">
        <v>104</v>
      </c>
      <c r="D4" s="19" t="s">
        <v>221</v>
      </c>
      <c r="E4" s="2" t="s">
        <v>222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5"/>
      <c r="Y4" s="38"/>
      <c r="Z4" s="38"/>
      <c r="AA4" s="3"/>
      <c r="AB4" s="3"/>
      <c r="AC4" s="3"/>
      <c r="AD4" s="3"/>
      <c r="AE4" s="3"/>
      <c r="AF4" s="75"/>
    </row>
    <row r="5" spans="1:32" ht="21.75" customHeight="1" x14ac:dyDescent="0.2">
      <c r="A5" s="18" t="s">
        <v>100</v>
      </c>
      <c r="B5" s="79" t="s">
        <v>568</v>
      </c>
      <c r="C5" s="20" t="s">
        <v>105</v>
      </c>
      <c r="D5" s="20" t="s">
        <v>221</v>
      </c>
      <c r="E5" s="72" t="s">
        <v>222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"/>
      <c r="Y5" s="37"/>
      <c r="Z5" s="37"/>
      <c r="AA5" s="73"/>
      <c r="AB5" s="73"/>
      <c r="AC5" s="73"/>
      <c r="AD5" s="73"/>
      <c r="AE5" s="73"/>
      <c r="AF5" s="75"/>
    </row>
    <row r="6" spans="1:32" ht="18" customHeight="1" x14ac:dyDescent="0.2">
      <c r="A6" s="18" t="s">
        <v>100</v>
      </c>
      <c r="B6" s="79" t="s">
        <v>568</v>
      </c>
      <c r="C6" s="19" t="s">
        <v>106</v>
      </c>
      <c r="D6" s="19" t="s">
        <v>221</v>
      </c>
      <c r="E6" s="2" t="s">
        <v>222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13"/>
      <c r="Y6" s="38"/>
      <c r="Z6" s="38"/>
      <c r="AA6" s="3"/>
      <c r="AB6" s="15"/>
      <c r="AC6" s="3"/>
      <c r="AD6" s="3"/>
      <c r="AE6" s="3"/>
      <c r="AF6" s="75"/>
    </row>
    <row r="7" spans="1:32" ht="18.75" customHeight="1" x14ac:dyDescent="0.2">
      <c r="A7" s="18" t="s">
        <v>100</v>
      </c>
      <c r="B7" s="79" t="s">
        <v>568</v>
      </c>
      <c r="C7" s="20" t="s">
        <v>107</v>
      </c>
      <c r="D7" s="20" t="s">
        <v>221</v>
      </c>
      <c r="E7" s="72" t="s">
        <v>222</v>
      </c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11"/>
      <c r="Y7" s="37"/>
      <c r="Z7" s="37"/>
      <c r="AA7" s="73"/>
      <c r="AB7" s="73"/>
      <c r="AC7" s="73"/>
      <c r="AD7" s="73"/>
      <c r="AE7" s="73"/>
      <c r="AF7" s="75"/>
    </row>
    <row r="8" spans="1:32" ht="18.75" customHeight="1" x14ac:dyDescent="0.2">
      <c r="A8" s="18" t="s">
        <v>100</v>
      </c>
      <c r="B8" s="79" t="s">
        <v>569</v>
      </c>
      <c r="C8" s="19" t="s">
        <v>108</v>
      </c>
      <c r="D8" s="19" t="s">
        <v>221</v>
      </c>
      <c r="E8" s="2" t="s">
        <v>222</v>
      </c>
      <c r="F8" s="3"/>
      <c r="G8" s="3"/>
      <c r="H8" s="15"/>
      <c r="I8" s="3"/>
      <c r="J8" s="35"/>
      <c r="K8" s="35"/>
      <c r="L8" s="3"/>
      <c r="M8" s="15"/>
      <c r="N8" s="3"/>
      <c r="O8" s="3"/>
      <c r="P8" s="3"/>
      <c r="Q8" s="3"/>
      <c r="R8" s="3"/>
      <c r="S8" s="3"/>
      <c r="T8" s="3"/>
      <c r="U8" s="3"/>
      <c r="V8" s="3"/>
      <c r="W8" s="3"/>
      <c r="X8" s="5"/>
      <c r="Y8" s="38"/>
      <c r="Z8" s="38"/>
      <c r="AA8" s="3"/>
      <c r="AB8" s="3"/>
      <c r="AC8" s="3"/>
      <c r="AD8" s="3"/>
      <c r="AE8" s="3"/>
      <c r="AF8" s="75"/>
    </row>
    <row r="9" spans="1:32" ht="22.5" customHeight="1" x14ac:dyDescent="0.2">
      <c r="A9" s="18" t="s">
        <v>100</v>
      </c>
      <c r="B9" s="79" t="s">
        <v>569</v>
      </c>
      <c r="C9" s="20" t="s">
        <v>109</v>
      </c>
      <c r="D9" s="20" t="s">
        <v>221</v>
      </c>
      <c r="E9" s="72" t="s">
        <v>222</v>
      </c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"/>
      <c r="Y9" s="37"/>
      <c r="Z9" s="37"/>
      <c r="AA9" s="73"/>
      <c r="AB9" s="73"/>
      <c r="AC9" s="73"/>
      <c r="AD9" s="73"/>
      <c r="AE9" s="73"/>
      <c r="AF9" s="75"/>
    </row>
    <row r="10" spans="1:32" ht="19.5" customHeight="1" x14ac:dyDescent="0.2">
      <c r="A10" s="18" t="s">
        <v>100</v>
      </c>
      <c r="B10" s="79" t="s">
        <v>569</v>
      </c>
      <c r="C10" s="19" t="s">
        <v>110</v>
      </c>
      <c r="D10" s="19" t="s">
        <v>221</v>
      </c>
      <c r="E10" s="2" t="s">
        <v>222</v>
      </c>
      <c r="F10" s="3"/>
      <c r="G10" s="3"/>
      <c r="H10" s="3"/>
      <c r="I10" s="3"/>
      <c r="J10" s="3"/>
      <c r="K10" s="3"/>
      <c r="L10" s="3"/>
      <c r="M10" s="15"/>
      <c r="N10" s="3"/>
      <c r="O10" s="3"/>
      <c r="P10" s="3"/>
      <c r="Q10" s="3"/>
      <c r="R10" s="3"/>
      <c r="S10" s="3"/>
      <c r="T10" s="3"/>
      <c r="U10" s="3"/>
      <c r="V10" s="3"/>
      <c r="W10" s="3"/>
      <c r="X10" s="13"/>
      <c r="Y10" s="38"/>
      <c r="Z10" s="38"/>
      <c r="AA10" s="3"/>
      <c r="AB10" s="3"/>
      <c r="AC10" s="3"/>
      <c r="AD10" s="3"/>
      <c r="AE10" s="3"/>
      <c r="AF10" s="75"/>
    </row>
    <row r="11" spans="1:32" ht="30" customHeight="1" x14ac:dyDescent="0.2">
      <c r="A11" s="18" t="s">
        <v>100</v>
      </c>
      <c r="B11" s="79" t="s">
        <v>569</v>
      </c>
      <c r="C11" s="20" t="s">
        <v>111</v>
      </c>
      <c r="D11" s="20" t="s">
        <v>221</v>
      </c>
      <c r="E11" s="72" t="s">
        <v>222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39"/>
      <c r="Z11" s="39"/>
      <c r="AA11" s="9"/>
      <c r="AB11" s="9"/>
      <c r="AC11" s="9"/>
      <c r="AD11" s="9"/>
      <c r="AE11" s="9"/>
      <c r="AF11" s="75"/>
    </row>
    <row r="12" spans="1:32" ht="21" customHeight="1" x14ac:dyDescent="0.2">
      <c r="A12" s="18" t="s">
        <v>100</v>
      </c>
      <c r="B12" s="79" t="s">
        <v>569</v>
      </c>
      <c r="C12" s="19" t="s">
        <v>112</v>
      </c>
      <c r="D12" s="19" t="s">
        <v>221</v>
      </c>
      <c r="E12" s="2" t="s">
        <v>222</v>
      </c>
      <c r="F12" s="3"/>
      <c r="G12" s="3"/>
      <c r="H12" s="3"/>
      <c r="I12" s="3"/>
      <c r="J12" s="3"/>
      <c r="K12" s="3"/>
      <c r="L12" s="1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13"/>
      <c r="Y12" s="38"/>
      <c r="Z12" s="38"/>
      <c r="AA12" s="3"/>
      <c r="AB12" s="3"/>
      <c r="AC12" s="3"/>
      <c r="AD12" s="3"/>
      <c r="AE12" s="3"/>
      <c r="AF12" s="75"/>
    </row>
    <row r="13" spans="1:32" ht="21.75" customHeight="1" x14ac:dyDescent="0.2">
      <c r="A13" s="18" t="s">
        <v>100</v>
      </c>
      <c r="B13" s="79" t="s">
        <v>569</v>
      </c>
      <c r="C13" s="20" t="s">
        <v>113</v>
      </c>
      <c r="D13" s="20" t="s">
        <v>221</v>
      </c>
      <c r="E13" s="72" t="s">
        <v>222</v>
      </c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37"/>
      <c r="Z13" s="37"/>
      <c r="AA13" s="73"/>
      <c r="AB13" s="73"/>
      <c r="AC13" s="73"/>
      <c r="AD13" s="73"/>
      <c r="AE13" s="73"/>
      <c r="AF13" s="75"/>
    </row>
    <row r="14" spans="1:32" ht="12.75" x14ac:dyDescent="0.2">
      <c r="A14" s="18" t="s">
        <v>100</v>
      </c>
      <c r="B14" s="79" t="s">
        <v>569</v>
      </c>
      <c r="C14" s="19" t="s">
        <v>114</v>
      </c>
      <c r="D14" s="19" t="s">
        <v>221</v>
      </c>
      <c r="E14" s="2" t="s">
        <v>222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5"/>
      <c r="Y14" s="38"/>
      <c r="Z14" s="38"/>
      <c r="AA14" s="3"/>
      <c r="AB14" s="3"/>
      <c r="AC14" s="3"/>
      <c r="AD14" s="3"/>
      <c r="AE14" s="3"/>
      <c r="AF14" s="75"/>
    </row>
    <row r="15" spans="1:32" ht="36.75" customHeight="1" x14ac:dyDescent="0.2">
      <c r="A15" s="23" t="s">
        <v>79</v>
      </c>
      <c r="B15" s="79" t="s">
        <v>569</v>
      </c>
      <c r="C15" s="20" t="s">
        <v>115</v>
      </c>
      <c r="D15" s="20" t="s">
        <v>221</v>
      </c>
      <c r="E15" s="72" t="s">
        <v>222</v>
      </c>
      <c r="F15" s="73" t="s">
        <v>8</v>
      </c>
      <c r="G15" s="73" t="s">
        <v>7</v>
      </c>
      <c r="H15" s="73" t="s">
        <v>223</v>
      </c>
      <c r="I15" s="21">
        <v>-12549</v>
      </c>
      <c r="J15" s="73" t="s">
        <v>144</v>
      </c>
      <c r="K15" s="73">
        <v>500</v>
      </c>
      <c r="L15" s="73" t="s">
        <v>224</v>
      </c>
      <c r="M15" s="73" t="s">
        <v>225</v>
      </c>
      <c r="N15" s="73">
        <v>861</v>
      </c>
      <c r="O15" s="73" t="s">
        <v>226</v>
      </c>
      <c r="P15" s="6" t="s">
        <v>120</v>
      </c>
      <c r="Q15" s="6" t="s">
        <v>227</v>
      </c>
      <c r="R15" s="28" t="s">
        <v>228</v>
      </c>
      <c r="S15" s="73" t="s">
        <v>122</v>
      </c>
      <c r="T15" s="73" t="s">
        <v>2</v>
      </c>
      <c r="U15" s="73" t="s">
        <v>123</v>
      </c>
      <c r="V15" s="73" t="s">
        <v>146</v>
      </c>
      <c r="W15" s="73" t="s">
        <v>229</v>
      </c>
      <c r="X15" s="7">
        <v>44985</v>
      </c>
      <c r="Y15" s="37" t="s">
        <v>230</v>
      </c>
      <c r="Z15" s="37" t="s">
        <v>231</v>
      </c>
      <c r="AA15" s="73" t="s">
        <v>232</v>
      </c>
      <c r="AB15" s="73" t="s">
        <v>233</v>
      </c>
      <c r="AC15" s="73" t="s">
        <v>2</v>
      </c>
      <c r="AD15" s="73" t="s">
        <v>2</v>
      </c>
      <c r="AE15" s="73" t="s">
        <v>2</v>
      </c>
      <c r="AF15" s="75"/>
    </row>
    <row r="16" spans="1:32" ht="24" customHeight="1" x14ac:dyDescent="0.2">
      <c r="A16" s="18" t="s">
        <v>100</v>
      </c>
      <c r="B16" s="79" t="s">
        <v>569</v>
      </c>
      <c r="C16" s="19" t="s">
        <v>117</v>
      </c>
      <c r="D16" s="19" t="s">
        <v>221</v>
      </c>
      <c r="E16" s="2" t="s">
        <v>222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5"/>
      <c r="Y16" s="38"/>
      <c r="Z16" s="38"/>
      <c r="AA16" s="3"/>
      <c r="AB16" s="3"/>
      <c r="AC16" s="3"/>
      <c r="AD16" s="3"/>
      <c r="AE16" s="3"/>
      <c r="AF16" s="75"/>
    </row>
    <row r="17" spans="1:32" ht="25.5" customHeight="1" x14ac:dyDescent="0.2">
      <c r="A17" s="18" t="s">
        <v>100</v>
      </c>
      <c r="B17" s="79" t="s">
        <v>569</v>
      </c>
      <c r="C17" s="20" t="s">
        <v>118</v>
      </c>
      <c r="D17" s="20" t="s">
        <v>221</v>
      </c>
      <c r="E17" s="72" t="s">
        <v>222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39"/>
      <c r="Z17" s="39"/>
      <c r="AA17" s="9"/>
      <c r="AB17" s="9"/>
      <c r="AC17" s="9"/>
      <c r="AD17" s="9"/>
      <c r="AE17" s="9"/>
      <c r="AF17" s="75"/>
    </row>
    <row r="18" spans="1:32" ht="27" customHeight="1" x14ac:dyDescent="0.2">
      <c r="A18" s="18" t="s">
        <v>100</v>
      </c>
      <c r="B18" s="79" t="s">
        <v>569</v>
      </c>
      <c r="C18" s="19" t="s">
        <v>124</v>
      </c>
      <c r="D18" s="19" t="s">
        <v>221</v>
      </c>
      <c r="E18" s="2" t="s">
        <v>222</v>
      </c>
      <c r="F18" s="3"/>
      <c r="G18" s="3"/>
      <c r="H18" s="3"/>
      <c r="I18" s="22"/>
      <c r="J18" s="3"/>
      <c r="K18" s="3"/>
      <c r="L18" s="15"/>
      <c r="M18" s="15"/>
      <c r="N18" s="3"/>
      <c r="O18" s="3"/>
      <c r="P18" s="3"/>
      <c r="Q18" s="3"/>
      <c r="R18" s="3"/>
      <c r="S18" s="3"/>
      <c r="T18" s="3"/>
      <c r="U18" s="3"/>
      <c r="V18" s="3"/>
      <c r="W18" s="3"/>
      <c r="X18" s="5"/>
      <c r="Y18" s="38"/>
      <c r="Z18" s="38"/>
      <c r="AA18" s="3"/>
      <c r="AB18" s="3"/>
      <c r="AC18" s="3"/>
      <c r="AD18" s="3"/>
      <c r="AE18" s="3"/>
      <c r="AF18" s="75"/>
    </row>
    <row r="19" spans="1:32" ht="12.75" x14ac:dyDescent="0.2">
      <c r="A19" s="18" t="s">
        <v>100</v>
      </c>
      <c r="B19" s="79" t="s">
        <v>569</v>
      </c>
      <c r="C19" s="20" t="s">
        <v>125</v>
      </c>
      <c r="D19" s="20" t="s">
        <v>221</v>
      </c>
      <c r="E19" s="72" t="s">
        <v>222</v>
      </c>
      <c r="F19" s="73"/>
      <c r="G19" s="6"/>
      <c r="H19" s="73"/>
      <c r="I19" s="73"/>
      <c r="J19" s="73"/>
      <c r="K19" s="73"/>
      <c r="L19" s="73"/>
      <c r="M19" s="6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37"/>
      <c r="Z19" s="37"/>
      <c r="AA19" s="73"/>
      <c r="AB19" s="73"/>
      <c r="AC19" s="73"/>
      <c r="AD19" s="73"/>
      <c r="AE19" s="73"/>
      <c r="AF19" s="75"/>
    </row>
    <row r="20" spans="1:32" ht="14.25" x14ac:dyDescent="0.2">
      <c r="A20" s="18" t="s">
        <v>100</v>
      </c>
      <c r="B20" s="79" t="s">
        <v>569</v>
      </c>
      <c r="C20" s="19" t="s">
        <v>126</v>
      </c>
      <c r="D20" s="19" t="s">
        <v>221</v>
      </c>
      <c r="E20" s="2" t="s">
        <v>222</v>
      </c>
      <c r="F20" s="27"/>
      <c r="G20" s="10"/>
      <c r="H20" s="3"/>
      <c r="I20" s="3"/>
      <c r="J20" s="3"/>
      <c r="K20" s="3"/>
      <c r="L20" s="32"/>
      <c r="M20" s="35"/>
      <c r="N20" s="3"/>
      <c r="O20" s="3"/>
      <c r="P20" s="3"/>
      <c r="Q20" s="3"/>
      <c r="R20" s="3"/>
      <c r="S20" s="3"/>
      <c r="T20" s="3"/>
      <c r="U20" s="3"/>
      <c r="V20" s="3"/>
      <c r="W20" s="3"/>
      <c r="X20" s="5"/>
      <c r="Y20" s="38"/>
      <c r="Z20" s="38"/>
      <c r="AA20" s="3"/>
      <c r="AB20" s="3"/>
      <c r="AC20" s="3"/>
      <c r="AD20" s="3"/>
      <c r="AE20" s="3"/>
      <c r="AF20" s="75"/>
    </row>
    <row r="21" spans="1:32" ht="12.75" x14ac:dyDescent="0.2">
      <c r="A21" s="18" t="s">
        <v>100</v>
      </c>
      <c r="B21" s="79" t="s">
        <v>569</v>
      </c>
      <c r="C21" s="20" t="s">
        <v>127</v>
      </c>
      <c r="D21" s="20" t="s">
        <v>221</v>
      </c>
      <c r="E21" s="72" t="s">
        <v>222</v>
      </c>
      <c r="F21" s="73"/>
      <c r="G21" s="34"/>
      <c r="H21" s="73"/>
      <c r="I21" s="73"/>
      <c r="J21" s="73"/>
      <c r="K21" s="73"/>
      <c r="L21" s="34"/>
      <c r="M21" s="34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"/>
      <c r="Y21" s="37"/>
      <c r="Z21" s="37"/>
      <c r="AA21" s="73"/>
      <c r="AB21" s="73"/>
      <c r="AC21" s="73"/>
      <c r="AD21" s="73"/>
      <c r="AE21" s="73"/>
      <c r="AF21" s="75"/>
    </row>
    <row r="22" spans="1:32" ht="12.75" x14ac:dyDescent="0.2">
      <c r="A22" s="18" t="s">
        <v>131</v>
      </c>
      <c r="B22" s="79" t="s">
        <v>568</v>
      </c>
      <c r="C22" s="19" t="s">
        <v>128</v>
      </c>
      <c r="D22" s="19" t="s">
        <v>221</v>
      </c>
      <c r="E22" s="2" t="s">
        <v>222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8"/>
      <c r="Z22" s="38"/>
      <c r="AA22" s="3"/>
      <c r="AB22" s="3"/>
      <c r="AC22" s="3"/>
      <c r="AD22" s="3"/>
      <c r="AE22" s="3"/>
      <c r="AF22" s="75"/>
    </row>
    <row r="23" spans="1:32" ht="12.75" x14ac:dyDescent="0.2">
      <c r="A23" s="18" t="s">
        <v>131</v>
      </c>
      <c r="B23" s="79" t="s">
        <v>568</v>
      </c>
      <c r="C23" s="20" t="s">
        <v>129</v>
      </c>
      <c r="D23" s="20" t="s">
        <v>221</v>
      </c>
      <c r="E23" s="72" t="s">
        <v>222</v>
      </c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37"/>
      <c r="Z23" s="37"/>
      <c r="AA23" s="73"/>
      <c r="AB23" s="73"/>
      <c r="AC23" s="73"/>
      <c r="AD23" s="73"/>
      <c r="AE23" s="73"/>
      <c r="AF23" s="75"/>
    </row>
    <row r="24" spans="1:32" ht="12.75" x14ac:dyDescent="0.2">
      <c r="A24" s="18" t="s">
        <v>131</v>
      </c>
      <c r="B24" s="79" t="s">
        <v>568</v>
      </c>
      <c r="C24" s="19" t="s">
        <v>130</v>
      </c>
      <c r="D24" s="19" t="s">
        <v>221</v>
      </c>
      <c r="E24" s="2" t="s">
        <v>222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8"/>
      <c r="Z24" s="38"/>
      <c r="AA24" s="3"/>
      <c r="AB24" s="3"/>
      <c r="AC24" s="3"/>
      <c r="AD24" s="3"/>
      <c r="AE24" s="3"/>
      <c r="AF24" s="75"/>
    </row>
    <row r="25" spans="1:32" ht="12.75" x14ac:dyDescent="0.2">
      <c r="A25" s="18" t="s">
        <v>131</v>
      </c>
      <c r="B25" s="79" t="s">
        <v>568</v>
      </c>
      <c r="C25" s="20" t="s">
        <v>132</v>
      </c>
      <c r="D25" s="20" t="s">
        <v>221</v>
      </c>
      <c r="E25" s="72" t="s">
        <v>222</v>
      </c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37"/>
      <c r="Z25" s="37"/>
      <c r="AA25" s="73"/>
      <c r="AB25" s="73"/>
      <c r="AC25" s="73"/>
      <c r="AD25" s="73"/>
      <c r="AE25" s="73"/>
      <c r="AF25" s="75"/>
    </row>
    <row r="26" spans="1:32" ht="12.75" x14ac:dyDescent="0.2">
      <c r="A26" s="18" t="s">
        <v>131</v>
      </c>
      <c r="B26" s="79" t="s">
        <v>568</v>
      </c>
      <c r="C26" s="19" t="s">
        <v>133</v>
      </c>
      <c r="D26" s="19" t="s">
        <v>221</v>
      </c>
      <c r="E26" s="2" t="s">
        <v>222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8"/>
      <c r="Z26" s="38"/>
      <c r="AA26" s="3"/>
      <c r="AB26" s="3"/>
      <c r="AC26" s="3"/>
      <c r="AD26" s="3"/>
      <c r="AE26" s="3"/>
      <c r="AF26" s="75"/>
    </row>
    <row r="27" spans="1:32" ht="12.75" x14ac:dyDescent="0.2">
      <c r="A27" s="69" t="s">
        <v>131</v>
      </c>
      <c r="B27" s="79" t="s">
        <v>568</v>
      </c>
      <c r="C27" s="20" t="s">
        <v>134</v>
      </c>
      <c r="D27" s="20" t="s">
        <v>221</v>
      </c>
      <c r="E27" s="72" t="s">
        <v>222</v>
      </c>
      <c r="F27" s="73" t="s">
        <v>3</v>
      </c>
      <c r="G27" s="73"/>
      <c r="H27" s="73" t="s">
        <v>234</v>
      </c>
      <c r="I27" s="73"/>
      <c r="J27" s="73" t="s">
        <v>99</v>
      </c>
      <c r="K27" s="73">
        <v>0</v>
      </c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37"/>
      <c r="Z27" s="37"/>
      <c r="AA27" s="73"/>
      <c r="AB27" s="73"/>
      <c r="AC27" s="73"/>
      <c r="AD27" s="73"/>
      <c r="AE27" s="73"/>
      <c r="AF27" s="75"/>
    </row>
    <row r="28" spans="1:32" ht="12.75" x14ac:dyDescent="0.2">
      <c r="A28" s="69" t="s">
        <v>131</v>
      </c>
      <c r="B28" s="79" t="s">
        <v>568</v>
      </c>
      <c r="C28" s="19" t="s">
        <v>135</v>
      </c>
      <c r="D28" s="19" t="s">
        <v>221</v>
      </c>
      <c r="E28" s="2" t="s">
        <v>222</v>
      </c>
      <c r="F28" s="4" t="s">
        <v>4</v>
      </c>
      <c r="G28" s="3"/>
      <c r="H28" s="3" t="s">
        <v>235</v>
      </c>
      <c r="I28" s="3"/>
      <c r="J28" s="3" t="s">
        <v>99</v>
      </c>
      <c r="K28" s="3">
        <v>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8"/>
      <c r="Z28" s="38"/>
      <c r="AA28" s="3"/>
      <c r="AB28" s="3"/>
      <c r="AC28" s="3"/>
      <c r="AD28" s="3"/>
      <c r="AE28" s="3"/>
      <c r="AF28" s="75"/>
    </row>
    <row r="29" spans="1:32" ht="23.25" customHeight="1" x14ac:dyDescent="0.2">
      <c r="A29" s="16" t="s">
        <v>99</v>
      </c>
      <c r="B29" s="79" t="s">
        <v>568</v>
      </c>
      <c r="C29" s="20" t="s">
        <v>136</v>
      </c>
      <c r="D29" s="20" t="s">
        <v>221</v>
      </c>
      <c r="E29" s="72" t="s">
        <v>222</v>
      </c>
      <c r="F29" s="73" t="s">
        <v>236</v>
      </c>
      <c r="G29" s="73"/>
      <c r="H29" s="25" t="s">
        <v>237</v>
      </c>
      <c r="I29" s="73" t="s">
        <v>238</v>
      </c>
      <c r="J29" s="73" t="s">
        <v>99</v>
      </c>
      <c r="K29" s="73">
        <v>0</v>
      </c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37"/>
      <c r="Z29" s="37"/>
      <c r="AA29" s="73"/>
      <c r="AB29" s="73"/>
      <c r="AC29" s="73"/>
      <c r="AD29" s="73"/>
      <c r="AE29" s="73"/>
      <c r="AF29" s="75"/>
    </row>
    <row r="30" spans="1:32" ht="12.75" x14ac:dyDescent="0.2">
      <c r="A30" s="16" t="s">
        <v>99</v>
      </c>
      <c r="B30" s="79" t="s">
        <v>568</v>
      </c>
      <c r="C30" s="19" t="s">
        <v>137</v>
      </c>
      <c r="D30" s="19" t="s">
        <v>221</v>
      </c>
      <c r="E30" s="2" t="s">
        <v>222</v>
      </c>
      <c r="F30" s="4" t="s">
        <v>4</v>
      </c>
      <c r="G30" s="3"/>
      <c r="H30" s="24" t="s">
        <v>239</v>
      </c>
      <c r="I30" s="3" t="s">
        <v>216</v>
      </c>
      <c r="J30" s="3" t="s">
        <v>99</v>
      </c>
      <c r="K30" s="3">
        <v>0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8"/>
      <c r="Z30" s="38"/>
      <c r="AA30" s="3"/>
      <c r="AB30" s="3"/>
      <c r="AC30" s="3"/>
      <c r="AD30" s="3"/>
      <c r="AE30" s="3"/>
      <c r="AF30" s="75"/>
    </row>
    <row r="31" spans="1:32" ht="12.75" x14ac:dyDescent="0.2">
      <c r="A31" s="16" t="s">
        <v>99</v>
      </c>
      <c r="B31" s="79" t="s">
        <v>568</v>
      </c>
      <c r="C31" s="20" t="s">
        <v>138</v>
      </c>
      <c r="D31" s="20" t="s">
        <v>221</v>
      </c>
      <c r="E31" s="72" t="s">
        <v>222</v>
      </c>
      <c r="F31" s="29" t="s">
        <v>215</v>
      </c>
      <c r="G31" s="73"/>
      <c r="H31" s="25" t="s">
        <v>240</v>
      </c>
      <c r="I31" s="73" t="s">
        <v>241</v>
      </c>
      <c r="J31" s="73" t="s">
        <v>99</v>
      </c>
      <c r="K31" s="73">
        <v>0</v>
      </c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37"/>
      <c r="Z31" s="37"/>
      <c r="AA31" s="73"/>
      <c r="AB31" s="73"/>
      <c r="AC31" s="73"/>
      <c r="AD31" s="73"/>
      <c r="AE31" s="73"/>
      <c r="AF31" s="75"/>
    </row>
    <row r="32" spans="1:32" ht="28.5" customHeight="1" x14ac:dyDescent="0.2">
      <c r="A32" s="16" t="s">
        <v>99</v>
      </c>
      <c r="B32" s="79" t="s">
        <v>568</v>
      </c>
      <c r="C32" s="19" t="s">
        <v>139</v>
      </c>
      <c r="D32" s="19" t="s">
        <v>221</v>
      </c>
      <c r="E32" s="2" t="s">
        <v>222</v>
      </c>
      <c r="F32" s="15" t="s">
        <v>3</v>
      </c>
      <c r="G32" s="3"/>
      <c r="H32" s="24" t="s">
        <v>242</v>
      </c>
      <c r="I32" s="3" t="s">
        <v>243</v>
      </c>
      <c r="J32" s="3" t="s">
        <v>99</v>
      </c>
      <c r="K32" s="3">
        <v>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8"/>
      <c r="Z32" s="38"/>
      <c r="AA32" s="3"/>
      <c r="AB32" s="3"/>
      <c r="AC32" s="3"/>
      <c r="AD32" s="3"/>
      <c r="AE32" s="3"/>
      <c r="AF32" s="75"/>
    </row>
    <row r="33" spans="1:32" ht="19.5" customHeight="1" x14ac:dyDescent="0.2">
      <c r="A33" s="18" t="s">
        <v>131</v>
      </c>
      <c r="B33" s="79" t="s">
        <v>568</v>
      </c>
      <c r="C33" s="20" t="s">
        <v>140</v>
      </c>
      <c r="D33" s="20" t="s">
        <v>221</v>
      </c>
      <c r="E33" s="72" t="s">
        <v>222</v>
      </c>
      <c r="F33" s="12"/>
      <c r="G33" s="73"/>
      <c r="H33" s="25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37"/>
      <c r="Z33" s="37"/>
      <c r="AA33" s="73"/>
      <c r="AB33" s="73"/>
      <c r="AC33" s="73"/>
      <c r="AD33" s="73"/>
      <c r="AE33" s="73"/>
      <c r="AF33" s="75"/>
    </row>
    <row r="34" spans="1:32" ht="18" customHeight="1" x14ac:dyDescent="0.2">
      <c r="A34" s="16" t="s">
        <v>99</v>
      </c>
      <c r="B34" s="79" t="s">
        <v>568</v>
      </c>
      <c r="C34" s="19" t="s">
        <v>159</v>
      </c>
      <c r="D34" s="19" t="s">
        <v>0</v>
      </c>
      <c r="E34" s="2" t="s">
        <v>244</v>
      </c>
      <c r="F34" s="15" t="s">
        <v>245</v>
      </c>
      <c r="G34" s="3"/>
      <c r="H34" s="24" t="s">
        <v>246</v>
      </c>
      <c r="I34" s="22">
        <v>-3893</v>
      </c>
      <c r="J34" s="3" t="s">
        <v>99</v>
      </c>
      <c r="K34" s="3">
        <v>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8"/>
      <c r="Z34" s="38"/>
      <c r="AA34" s="3"/>
      <c r="AB34" s="3"/>
      <c r="AC34" s="3"/>
      <c r="AD34" s="3"/>
      <c r="AE34" s="3"/>
      <c r="AF34" s="75"/>
    </row>
    <row r="35" spans="1:32" ht="42" customHeight="1" x14ac:dyDescent="0.2">
      <c r="A35" s="23" t="s">
        <v>79</v>
      </c>
      <c r="B35" s="79" t="s">
        <v>568</v>
      </c>
      <c r="C35" s="20" t="s">
        <v>160</v>
      </c>
      <c r="D35" s="20" t="s">
        <v>0</v>
      </c>
      <c r="E35" s="72" t="s">
        <v>244</v>
      </c>
      <c r="F35" s="12" t="s">
        <v>10</v>
      </c>
      <c r="G35" s="73" t="s">
        <v>9</v>
      </c>
      <c r="H35" s="25" t="s">
        <v>247</v>
      </c>
      <c r="I35" s="73">
        <v>-2.2999999999999998</v>
      </c>
      <c r="J35" s="73" t="s">
        <v>248</v>
      </c>
      <c r="K35" s="73">
        <v>200</v>
      </c>
      <c r="L35" s="73" t="s">
        <v>249</v>
      </c>
      <c r="M35" s="73" t="s">
        <v>250</v>
      </c>
      <c r="N35" s="73" t="s">
        <v>251</v>
      </c>
      <c r="O35" s="73" t="s">
        <v>252</v>
      </c>
      <c r="P35" s="73" t="s">
        <v>219</v>
      </c>
      <c r="Q35" s="28" t="s">
        <v>227</v>
      </c>
      <c r="R35" s="28" t="s">
        <v>227</v>
      </c>
      <c r="S35" s="73" t="s">
        <v>145</v>
      </c>
      <c r="T35" s="73" t="s">
        <v>2</v>
      </c>
      <c r="U35" s="73" t="s">
        <v>123</v>
      </c>
      <c r="V35" s="73" t="s">
        <v>253</v>
      </c>
      <c r="W35" s="73" t="s">
        <v>254</v>
      </c>
      <c r="X35" s="73" t="s">
        <v>255</v>
      </c>
      <c r="Y35" s="37" t="s">
        <v>256</v>
      </c>
      <c r="Z35" s="37" t="s">
        <v>257</v>
      </c>
      <c r="AA35" s="73"/>
      <c r="AB35" s="73"/>
      <c r="AC35" s="73"/>
      <c r="AD35" s="73"/>
      <c r="AE35" s="73"/>
      <c r="AF35" s="75"/>
    </row>
    <row r="36" spans="1:32" ht="27.75" customHeight="1" x14ac:dyDescent="0.2">
      <c r="A36" s="23" t="s">
        <v>79</v>
      </c>
      <c r="B36" s="79" t="s">
        <v>568</v>
      </c>
      <c r="C36" s="19" t="s">
        <v>161</v>
      </c>
      <c r="D36" s="19" t="s">
        <v>0</v>
      </c>
      <c r="E36" s="2" t="s">
        <v>244</v>
      </c>
      <c r="F36" s="15" t="s">
        <v>12</v>
      </c>
      <c r="G36" s="3" t="s">
        <v>11</v>
      </c>
      <c r="H36" s="3" t="s">
        <v>258</v>
      </c>
      <c r="I36" s="3" t="s">
        <v>259</v>
      </c>
      <c r="J36" s="3" t="s">
        <v>260</v>
      </c>
      <c r="K36" s="3">
        <v>3000</v>
      </c>
      <c r="L36" s="3" t="s">
        <v>261</v>
      </c>
      <c r="M36" s="3" t="s">
        <v>262</v>
      </c>
      <c r="N36" s="3">
        <v>879</v>
      </c>
      <c r="O36" s="3" t="s">
        <v>263</v>
      </c>
      <c r="P36" s="3" t="s">
        <v>149</v>
      </c>
      <c r="Q36" s="3" t="s">
        <v>158</v>
      </c>
      <c r="R36" s="3" t="s">
        <v>264</v>
      </c>
      <c r="S36" s="3" t="s">
        <v>122</v>
      </c>
      <c r="T36" s="3" t="s">
        <v>2</v>
      </c>
      <c r="U36" s="3" t="s">
        <v>123</v>
      </c>
      <c r="V36" s="3" t="s">
        <v>253</v>
      </c>
      <c r="W36" s="3" t="s">
        <v>265</v>
      </c>
      <c r="X36" s="5">
        <v>45681</v>
      </c>
      <c r="Y36" s="38" t="s">
        <v>266</v>
      </c>
      <c r="Z36" s="40" t="s">
        <v>267</v>
      </c>
      <c r="AA36" s="3" t="s">
        <v>2</v>
      </c>
      <c r="AB36" s="3" t="s">
        <v>2</v>
      </c>
      <c r="AC36" s="3" t="s">
        <v>2</v>
      </c>
      <c r="AD36" s="3" t="s">
        <v>2</v>
      </c>
      <c r="AE36" s="3" t="s">
        <v>2</v>
      </c>
      <c r="AF36" s="75"/>
    </row>
    <row r="37" spans="1:32" ht="18" customHeight="1" x14ac:dyDescent="0.2">
      <c r="A37" s="70" t="s">
        <v>131</v>
      </c>
      <c r="B37" s="79" t="s">
        <v>568</v>
      </c>
      <c r="C37" s="20" t="s">
        <v>162</v>
      </c>
      <c r="D37" s="20" t="s">
        <v>0</v>
      </c>
      <c r="E37" s="72" t="s">
        <v>244</v>
      </c>
      <c r="F37" s="12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37"/>
      <c r="Z37" s="37"/>
      <c r="AA37" s="73"/>
      <c r="AB37" s="73"/>
      <c r="AC37" s="73"/>
      <c r="AD37" s="73"/>
      <c r="AE37" s="73"/>
      <c r="AF37" s="75"/>
    </row>
    <row r="38" spans="1:32" ht="24.75" customHeight="1" x14ac:dyDescent="0.2">
      <c r="A38" s="23" t="s">
        <v>79</v>
      </c>
      <c r="B38" s="79" t="s">
        <v>569</v>
      </c>
      <c r="C38" s="19" t="s">
        <v>163</v>
      </c>
      <c r="D38" s="19" t="s">
        <v>0</v>
      </c>
      <c r="E38" s="2" t="s">
        <v>244</v>
      </c>
      <c r="F38" s="3" t="s">
        <v>14</v>
      </c>
      <c r="G38" s="3" t="s">
        <v>13</v>
      </c>
      <c r="H38" s="3" t="s">
        <v>268</v>
      </c>
      <c r="I38" s="22">
        <v>-12006</v>
      </c>
      <c r="J38" s="3" t="s">
        <v>119</v>
      </c>
      <c r="K38" s="3">
        <v>20</v>
      </c>
      <c r="L38" s="3" t="s">
        <v>269</v>
      </c>
      <c r="M38" s="3" t="s">
        <v>270</v>
      </c>
      <c r="N38" s="3">
        <v>850</v>
      </c>
      <c r="O38" s="3" t="s">
        <v>271</v>
      </c>
      <c r="P38" s="3" t="s">
        <v>141</v>
      </c>
      <c r="Q38" s="30" t="s">
        <v>227</v>
      </c>
      <c r="R38" s="3" t="s">
        <v>272</v>
      </c>
      <c r="S38" s="3" t="s">
        <v>122</v>
      </c>
      <c r="T38" s="3" t="s">
        <v>273</v>
      </c>
      <c r="U38" s="3" t="s">
        <v>123</v>
      </c>
      <c r="V38" s="3" t="s">
        <v>146</v>
      </c>
      <c r="W38" s="3" t="s">
        <v>274</v>
      </c>
      <c r="X38" s="5">
        <v>44742</v>
      </c>
      <c r="Y38" s="38" t="s">
        <v>275</v>
      </c>
      <c r="Z38" s="38" t="s">
        <v>276</v>
      </c>
      <c r="AA38" s="3" t="s">
        <v>2</v>
      </c>
      <c r="AB38" s="3" t="s">
        <v>2</v>
      </c>
      <c r="AC38" s="3" t="s">
        <v>277</v>
      </c>
      <c r="AD38" s="3" t="s">
        <v>277</v>
      </c>
      <c r="AE38" s="3" t="s">
        <v>277</v>
      </c>
      <c r="AF38" s="75"/>
    </row>
    <row r="39" spans="1:32" ht="27.75" customHeight="1" x14ac:dyDescent="0.2">
      <c r="A39" s="23" t="s">
        <v>79</v>
      </c>
      <c r="B39" s="79" t="s">
        <v>569</v>
      </c>
      <c r="C39" s="20" t="s">
        <v>167</v>
      </c>
      <c r="D39" s="20" t="s">
        <v>0</v>
      </c>
      <c r="E39" s="72" t="s">
        <v>244</v>
      </c>
      <c r="F39" s="73" t="s">
        <v>16</v>
      </c>
      <c r="G39" s="73" t="s">
        <v>15</v>
      </c>
      <c r="H39" s="73" t="s">
        <v>278</v>
      </c>
      <c r="I39" s="21">
        <v>-9507</v>
      </c>
      <c r="J39" s="73" t="s">
        <v>144</v>
      </c>
      <c r="K39" s="73">
        <v>200</v>
      </c>
      <c r="L39" s="73" t="s">
        <v>279</v>
      </c>
      <c r="M39" s="73" t="s">
        <v>280</v>
      </c>
      <c r="N39" s="73">
        <v>851</v>
      </c>
      <c r="O39" s="73" t="s">
        <v>271</v>
      </c>
      <c r="P39" s="73" t="s">
        <v>141</v>
      </c>
      <c r="Q39" s="73" t="s">
        <v>142</v>
      </c>
      <c r="R39" s="73" t="s">
        <v>272</v>
      </c>
      <c r="S39" s="73" t="s">
        <v>122</v>
      </c>
      <c r="T39" s="73" t="s">
        <v>2</v>
      </c>
      <c r="U39" s="73" t="s">
        <v>123</v>
      </c>
      <c r="V39" s="73" t="s">
        <v>146</v>
      </c>
      <c r="W39" s="73" t="s">
        <v>281</v>
      </c>
      <c r="X39" s="7">
        <v>44749</v>
      </c>
      <c r="Y39" s="37" t="s">
        <v>282</v>
      </c>
      <c r="Z39" s="37" t="s">
        <v>283</v>
      </c>
      <c r="AA39" s="73" t="s">
        <v>284</v>
      </c>
      <c r="AB39" s="73" t="s">
        <v>285</v>
      </c>
      <c r="AC39" s="73" t="s">
        <v>2</v>
      </c>
      <c r="AD39" s="73" t="s">
        <v>2</v>
      </c>
      <c r="AE39" s="73" t="s">
        <v>2</v>
      </c>
      <c r="AF39" s="75"/>
    </row>
    <row r="40" spans="1:32" ht="27.75" customHeight="1" x14ac:dyDescent="0.2">
      <c r="A40" s="23" t="s">
        <v>79</v>
      </c>
      <c r="B40" s="79" t="s">
        <v>569</v>
      </c>
      <c r="C40" s="19" t="s">
        <v>168</v>
      </c>
      <c r="D40" s="19" t="s">
        <v>0</v>
      </c>
      <c r="E40" s="2" t="s">
        <v>244</v>
      </c>
      <c r="F40" s="3" t="s">
        <v>18</v>
      </c>
      <c r="G40" s="3" t="s">
        <v>17</v>
      </c>
      <c r="H40" s="3" t="s">
        <v>286</v>
      </c>
      <c r="I40" s="22">
        <v>-11163</v>
      </c>
      <c r="J40" s="3" t="s">
        <v>144</v>
      </c>
      <c r="K40" s="3">
        <v>300</v>
      </c>
      <c r="L40" s="3" t="s">
        <v>287</v>
      </c>
      <c r="M40" s="3" t="s">
        <v>288</v>
      </c>
      <c r="N40" s="3">
        <v>852</v>
      </c>
      <c r="O40" s="3" t="s">
        <v>263</v>
      </c>
      <c r="P40" s="3" t="s">
        <v>152</v>
      </c>
      <c r="Q40" s="3" t="s">
        <v>121</v>
      </c>
      <c r="R40" s="3" t="s">
        <v>272</v>
      </c>
      <c r="S40" s="3" t="s">
        <v>122</v>
      </c>
      <c r="T40" s="3" t="s">
        <v>289</v>
      </c>
      <c r="U40" s="3" t="s">
        <v>123</v>
      </c>
      <c r="V40" s="3" t="s">
        <v>146</v>
      </c>
      <c r="W40" s="3" t="s">
        <v>290</v>
      </c>
      <c r="X40" s="5">
        <v>44804</v>
      </c>
      <c r="Y40" s="38" t="s">
        <v>291</v>
      </c>
      <c r="Z40" s="38" t="s">
        <v>292</v>
      </c>
      <c r="AA40" s="3" t="s">
        <v>293</v>
      </c>
      <c r="AB40" s="3" t="s">
        <v>294</v>
      </c>
      <c r="AC40" s="3" t="s">
        <v>2</v>
      </c>
      <c r="AD40" s="3" t="s">
        <v>2</v>
      </c>
      <c r="AE40" s="3" t="s">
        <v>2</v>
      </c>
      <c r="AF40" s="75"/>
    </row>
    <row r="41" spans="1:32" ht="27.75" customHeight="1" x14ac:dyDescent="0.2">
      <c r="A41" s="23" t="s">
        <v>79</v>
      </c>
      <c r="B41" s="79" t="s">
        <v>569</v>
      </c>
      <c r="C41" s="20" t="s">
        <v>169</v>
      </c>
      <c r="D41" s="20" t="s">
        <v>0</v>
      </c>
      <c r="E41" s="72" t="s">
        <v>244</v>
      </c>
      <c r="F41" s="73" t="s">
        <v>20</v>
      </c>
      <c r="G41" s="73" t="s">
        <v>19</v>
      </c>
      <c r="H41" s="73" t="s">
        <v>295</v>
      </c>
      <c r="I41" s="21">
        <v>-8632</v>
      </c>
      <c r="J41" s="73" t="s">
        <v>144</v>
      </c>
      <c r="K41" s="73">
        <v>200</v>
      </c>
      <c r="L41" s="73" t="s">
        <v>296</v>
      </c>
      <c r="M41" s="73" t="s">
        <v>297</v>
      </c>
      <c r="N41" s="73">
        <v>853</v>
      </c>
      <c r="O41" s="73" t="s">
        <v>226</v>
      </c>
      <c r="P41" s="73" t="s">
        <v>116</v>
      </c>
      <c r="Q41" s="73" t="s">
        <v>116</v>
      </c>
      <c r="R41" s="28" t="s">
        <v>298</v>
      </c>
      <c r="S41" s="73" t="s">
        <v>150</v>
      </c>
      <c r="T41" s="73" t="s">
        <v>299</v>
      </c>
      <c r="U41" s="73" t="s">
        <v>123</v>
      </c>
      <c r="V41" s="73" t="s">
        <v>146</v>
      </c>
      <c r="W41" s="73" t="s">
        <v>300</v>
      </c>
      <c r="X41" s="11">
        <v>44858</v>
      </c>
      <c r="Y41" s="37" t="s">
        <v>301</v>
      </c>
      <c r="Z41" s="37" t="s">
        <v>302</v>
      </c>
      <c r="AA41" s="73" t="s">
        <v>154</v>
      </c>
      <c r="AB41" s="12" t="s">
        <v>303</v>
      </c>
      <c r="AC41" s="73" t="s">
        <v>2</v>
      </c>
      <c r="AD41" s="73" t="s">
        <v>2</v>
      </c>
      <c r="AE41" s="73" t="s">
        <v>2</v>
      </c>
      <c r="AF41" s="75"/>
    </row>
    <row r="42" spans="1:32" ht="37.5" customHeight="1" x14ac:dyDescent="0.2">
      <c r="A42" s="23" t="s">
        <v>79</v>
      </c>
      <c r="B42" s="79" t="s">
        <v>569</v>
      </c>
      <c r="C42" s="19" t="s">
        <v>170</v>
      </c>
      <c r="D42" s="19" t="s">
        <v>0</v>
      </c>
      <c r="E42" s="2" t="s">
        <v>244</v>
      </c>
      <c r="F42" s="3" t="s">
        <v>22</v>
      </c>
      <c r="G42" s="3" t="s">
        <v>21</v>
      </c>
      <c r="H42" s="3" t="s">
        <v>304</v>
      </c>
      <c r="I42" s="22">
        <v>-14659</v>
      </c>
      <c r="J42" s="3" t="s">
        <v>144</v>
      </c>
      <c r="K42" s="3">
        <v>50</v>
      </c>
      <c r="L42" s="3" t="s">
        <v>305</v>
      </c>
      <c r="M42" s="3" t="s">
        <v>306</v>
      </c>
      <c r="N42" s="3">
        <v>855</v>
      </c>
      <c r="O42" s="3" t="s">
        <v>226</v>
      </c>
      <c r="P42" s="3" t="s">
        <v>116</v>
      </c>
      <c r="Q42" s="3" t="s">
        <v>116</v>
      </c>
      <c r="R42" s="30" t="s">
        <v>298</v>
      </c>
      <c r="S42" s="3" t="s">
        <v>307</v>
      </c>
      <c r="T42" s="3" t="s">
        <v>308</v>
      </c>
      <c r="U42" s="3" t="s">
        <v>123</v>
      </c>
      <c r="V42" s="3" t="s">
        <v>146</v>
      </c>
      <c r="W42" s="3" t="s">
        <v>309</v>
      </c>
      <c r="X42" s="13">
        <v>44907</v>
      </c>
      <c r="Y42" s="38" t="s">
        <v>310</v>
      </c>
      <c r="Z42" s="38" t="s">
        <v>311</v>
      </c>
      <c r="AA42" s="3" t="s">
        <v>154</v>
      </c>
      <c r="AB42" s="3" t="s">
        <v>312</v>
      </c>
      <c r="AC42" s="3" t="s">
        <v>2</v>
      </c>
      <c r="AD42" s="3" t="s">
        <v>2</v>
      </c>
      <c r="AE42" s="3" t="s">
        <v>2</v>
      </c>
      <c r="AF42" s="75"/>
    </row>
    <row r="43" spans="1:32" s="62" customFormat="1" ht="23.25" customHeight="1" x14ac:dyDescent="0.2">
      <c r="A43" s="23" t="s">
        <v>79</v>
      </c>
      <c r="B43" s="79" t="s">
        <v>569</v>
      </c>
      <c r="C43" s="63" t="s">
        <v>171</v>
      </c>
      <c r="D43" s="63" t="s">
        <v>0</v>
      </c>
      <c r="E43" s="64" t="s">
        <v>244</v>
      </c>
      <c r="F43" s="50" t="s">
        <v>24</v>
      </c>
      <c r="G43" s="66" t="s">
        <v>23</v>
      </c>
      <c r="H43" s="50" t="s">
        <v>313</v>
      </c>
      <c r="I43" s="42" t="s">
        <v>314</v>
      </c>
      <c r="J43" s="50" t="s">
        <v>119</v>
      </c>
      <c r="K43" s="50">
        <v>20</v>
      </c>
      <c r="L43" s="67" t="s">
        <v>315</v>
      </c>
      <c r="M43" s="67" t="s">
        <v>316</v>
      </c>
      <c r="N43" s="50">
        <v>863</v>
      </c>
      <c r="O43" s="50" t="s">
        <v>317</v>
      </c>
      <c r="P43" s="50" t="s">
        <v>151</v>
      </c>
      <c r="Q43" s="50" t="s">
        <v>142</v>
      </c>
      <c r="R43" s="50" t="s">
        <v>217</v>
      </c>
      <c r="S43" s="50" t="s">
        <v>122</v>
      </c>
      <c r="T43" s="50" t="s">
        <v>318</v>
      </c>
      <c r="U43" s="50" t="s">
        <v>123</v>
      </c>
      <c r="V43" s="50" t="s">
        <v>143</v>
      </c>
      <c r="W43" s="50" t="s">
        <v>319</v>
      </c>
      <c r="X43" s="65">
        <v>45954</v>
      </c>
      <c r="Y43" s="51" t="s">
        <v>320</v>
      </c>
      <c r="Z43" s="51" t="s">
        <v>321</v>
      </c>
      <c r="AA43" s="50" t="s">
        <v>2</v>
      </c>
      <c r="AB43" s="50" t="s">
        <v>2</v>
      </c>
      <c r="AC43" s="50" t="s">
        <v>2</v>
      </c>
      <c r="AD43" s="50" t="s">
        <v>2</v>
      </c>
      <c r="AE43" s="50" t="s">
        <v>2</v>
      </c>
      <c r="AF43" s="75"/>
    </row>
    <row r="44" spans="1:32" ht="33" customHeight="1" x14ac:dyDescent="0.2">
      <c r="A44" s="23" t="s">
        <v>79</v>
      </c>
      <c r="B44" s="79" t="s">
        <v>569</v>
      </c>
      <c r="C44" s="19" t="s">
        <v>172</v>
      </c>
      <c r="D44" s="19" t="s">
        <v>0</v>
      </c>
      <c r="E44" s="2" t="s">
        <v>244</v>
      </c>
      <c r="F44" s="3" t="s">
        <v>26</v>
      </c>
      <c r="G44" s="3" t="s">
        <v>25</v>
      </c>
      <c r="H44" s="3" t="s">
        <v>322</v>
      </c>
      <c r="I44" s="22" t="s">
        <v>314</v>
      </c>
      <c r="J44" s="3" t="s">
        <v>119</v>
      </c>
      <c r="K44" s="3">
        <v>50</v>
      </c>
      <c r="L44" s="3" t="s">
        <v>323</v>
      </c>
      <c r="M44" s="3" t="s">
        <v>324</v>
      </c>
      <c r="N44" s="3">
        <v>869</v>
      </c>
      <c r="O44" s="3" t="s">
        <v>325</v>
      </c>
      <c r="P44" s="3" t="s">
        <v>219</v>
      </c>
      <c r="Q44" s="3" t="s">
        <v>152</v>
      </c>
      <c r="R44" s="3" t="s">
        <v>326</v>
      </c>
      <c r="S44" s="3" t="s">
        <v>166</v>
      </c>
      <c r="T44" s="3"/>
      <c r="U44" s="3" t="s">
        <v>123</v>
      </c>
      <c r="V44" s="3" t="s">
        <v>143</v>
      </c>
      <c r="W44" s="3" t="s">
        <v>327</v>
      </c>
      <c r="X44" s="5"/>
      <c r="Y44" s="38"/>
      <c r="Z44" s="38" t="s">
        <v>328</v>
      </c>
      <c r="AA44" s="3"/>
      <c r="AB44" s="3"/>
      <c r="AC44" s="3"/>
      <c r="AD44" s="3"/>
      <c r="AE44" s="3"/>
      <c r="AF44" s="75"/>
    </row>
    <row r="45" spans="1:32" ht="31.5" customHeight="1" x14ac:dyDescent="0.2">
      <c r="A45" s="23" t="s">
        <v>79</v>
      </c>
      <c r="B45" s="79" t="s">
        <v>569</v>
      </c>
      <c r="C45" s="20" t="s">
        <v>173</v>
      </c>
      <c r="D45" s="20" t="s">
        <v>0</v>
      </c>
      <c r="E45" s="72" t="s">
        <v>244</v>
      </c>
      <c r="F45" s="73" t="s">
        <v>28</v>
      </c>
      <c r="G45" s="73" t="s">
        <v>27</v>
      </c>
      <c r="H45" s="73" t="s">
        <v>329</v>
      </c>
      <c r="I45" s="21">
        <v>-13242</v>
      </c>
      <c r="J45" s="73" t="s">
        <v>144</v>
      </c>
      <c r="K45" s="73">
        <v>50</v>
      </c>
      <c r="L45" s="73" t="s">
        <v>330</v>
      </c>
      <c r="M45" s="12" t="s">
        <v>331</v>
      </c>
      <c r="N45" s="73">
        <v>857</v>
      </c>
      <c r="O45" s="73" t="s">
        <v>226</v>
      </c>
      <c r="P45" s="73" t="s">
        <v>116</v>
      </c>
      <c r="Q45" s="73" t="s">
        <v>116</v>
      </c>
      <c r="R45" s="73" t="s">
        <v>298</v>
      </c>
      <c r="S45" s="73" t="s">
        <v>166</v>
      </c>
      <c r="T45" s="73" t="s">
        <v>332</v>
      </c>
      <c r="U45" s="73" t="s">
        <v>123</v>
      </c>
      <c r="V45" s="73" t="s">
        <v>146</v>
      </c>
      <c r="W45" s="73" t="s">
        <v>333</v>
      </c>
      <c r="X45" s="11">
        <v>44925</v>
      </c>
      <c r="Y45" s="37" t="s">
        <v>334</v>
      </c>
      <c r="Z45" s="37" t="s">
        <v>335</v>
      </c>
      <c r="AA45" s="73" t="s">
        <v>154</v>
      </c>
      <c r="AB45" s="73" t="s">
        <v>336</v>
      </c>
      <c r="AC45" s="73" t="s">
        <v>2</v>
      </c>
      <c r="AD45" s="73" t="s">
        <v>2</v>
      </c>
      <c r="AE45" s="73" t="s">
        <v>2</v>
      </c>
      <c r="AF45" s="75"/>
    </row>
    <row r="46" spans="1:32" ht="27" customHeight="1" x14ac:dyDescent="0.2">
      <c r="A46" s="23" t="s">
        <v>79</v>
      </c>
      <c r="B46" s="79" t="s">
        <v>569</v>
      </c>
      <c r="C46" s="19" t="s">
        <v>174</v>
      </c>
      <c r="D46" s="19" t="s">
        <v>0</v>
      </c>
      <c r="E46" s="2" t="s">
        <v>244</v>
      </c>
      <c r="F46" s="10" t="s">
        <v>30</v>
      </c>
      <c r="G46" s="10" t="s">
        <v>29</v>
      </c>
      <c r="H46" s="10" t="s">
        <v>337</v>
      </c>
      <c r="I46" s="10" t="s">
        <v>338</v>
      </c>
      <c r="J46" s="10" t="s">
        <v>119</v>
      </c>
      <c r="K46" s="10">
        <v>100</v>
      </c>
      <c r="L46" s="10" t="s">
        <v>339</v>
      </c>
      <c r="M46" s="10" t="s">
        <v>340</v>
      </c>
      <c r="N46" s="10">
        <v>873</v>
      </c>
      <c r="O46" s="3" t="s">
        <v>341</v>
      </c>
      <c r="P46" s="3" t="s">
        <v>141</v>
      </c>
      <c r="Q46" s="3" t="s">
        <v>121</v>
      </c>
      <c r="R46" s="3" t="s">
        <v>2</v>
      </c>
      <c r="S46" s="3" t="s">
        <v>122</v>
      </c>
      <c r="T46" s="30" t="s">
        <v>342</v>
      </c>
      <c r="U46" s="3" t="s">
        <v>123</v>
      </c>
      <c r="V46" s="3" t="s">
        <v>146</v>
      </c>
      <c r="W46" s="10" t="s">
        <v>343</v>
      </c>
      <c r="X46" s="13">
        <v>45271</v>
      </c>
      <c r="Y46" s="38" t="s">
        <v>344</v>
      </c>
      <c r="Z46" s="40" t="s">
        <v>345</v>
      </c>
      <c r="AA46" s="3" t="s">
        <v>154</v>
      </c>
      <c r="AB46" s="3" t="s">
        <v>346</v>
      </c>
      <c r="AC46" s="3" t="s">
        <v>2</v>
      </c>
      <c r="AD46" s="3" t="s">
        <v>2</v>
      </c>
      <c r="AE46" s="3" t="s">
        <v>2</v>
      </c>
      <c r="AF46" s="75"/>
    </row>
    <row r="47" spans="1:32" ht="27" customHeight="1" x14ac:dyDescent="0.2">
      <c r="A47" s="23" t="s">
        <v>79</v>
      </c>
      <c r="B47" s="79" t="s">
        <v>569</v>
      </c>
      <c r="C47" s="20" t="s">
        <v>175</v>
      </c>
      <c r="D47" s="20" t="s">
        <v>0</v>
      </c>
      <c r="E47" s="72" t="s">
        <v>244</v>
      </c>
      <c r="F47" s="73" t="s">
        <v>32</v>
      </c>
      <c r="G47" s="33" t="s">
        <v>31</v>
      </c>
      <c r="H47" s="73" t="s">
        <v>347</v>
      </c>
      <c r="I47" s="9" t="s">
        <v>348</v>
      </c>
      <c r="J47" s="73" t="s">
        <v>119</v>
      </c>
      <c r="K47" s="73">
        <v>950</v>
      </c>
      <c r="L47" s="73" t="s">
        <v>349</v>
      </c>
      <c r="M47" s="12" t="s">
        <v>350</v>
      </c>
      <c r="N47" s="73">
        <v>882</v>
      </c>
      <c r="O47" s="73" t="s">
        <v>271</v>
      </c>
      <c r="P47" s="73" t="s">
        <v>141</v>
      </c>
      <c r="Q47" s="73" t="s">
        <v>158</v>
      </c>
      <c r="R47" s="73" t="s">
        <v>351</v>
      </c>
      <c r="S47" s="73" t="s">
        <v>122</v>
      </c>
      <c r="T47" s="73"/>
      <c r="U47" s="73" t="s">
        <v>123</v>
      </c>
      <c r="V47" s="73" t="s">
        <v>143</v>
      </c>
      <c r="W47" s="73" t="s">
        <v>352</v>
      </c>
      <c r="X47" s="11">
        <v>46029</v>
      </c>
      <c r="Y47" s="37"/>
      <c r="Z47" s="37" t="s">
        <v>353</v>
      </c>
      <c r="AA47" s="73"/>
      <c r="AB47" s="73"/>
      <c r="AC47" s="73"/>
      <c r="AD47" s="73"/>
      <c r="AE47" s="73"/>
      <c r="AF47" s="75"/>
    </row>
    <row r="48" spans="1:32" ht="25.5" customHeight="1" x14ac:dyDescent="0.2">
      <c r="A48" s="23" t="s">
        <v>79</v>
      </c>
      <c r="B48" s="79" t="s">
        <v>569</v>
      </c>
      <c r="C48" s="19" t="s">
        <v>176</v>
      </c>
      <c r="D48" s="19" t="s">
        <v>0</v>
      </c>
      <c r="E48" s="2" t="s">
        <v>244</v>
      </c>
      <c r="F48" s="3" t="s">
        <v>34</v>
      </c>
      <c r="G48" s="3" t="s">
        <v>33</v>
      </c>
      <c r="H48" s="3" t="s">
        <v>354</v>
      </c>
      <c r="I48" s="3" t="s">
        <v>355</v>
      </c>
      <c r="J48" s="3" t="s">
        <v>144</v>
      </c>
      <c r="K48" s="3">
        <v>100</v>
      </c>
      <c r="L48" s="3" t="s">
        <v>356</v>
      </c>
      <c r="M48" s="3" t="s">
        <v>357</v>
      </c>
      <c r="N48" s="3" t="s">
        <v>358</v>
      </c>
      <c r="O48" s="3" t="s">
        <v>226</v>
      </c>
      <c r="P48" s="3" t="s">
        <v>120</v>
      </c>
      <c r="Q48" s="3" t="s">
        <v>359</v>
      </c>
      <c r="R48" s="3" t="s">
        <v>360</v>
      </c>
      <c r="S48" s="3" t="s">
        <v>166</v>
      </c>
      <c r="T48" s="3" t="s">
        <v>361</v>
      </c>
      <c r="U48" s="3" t="s">
        <v>123</v>
      </c>
      <c r="V48" s="3" t="s">
        <v>143</v>
      </c>
      <c r="W48" s="3" t="s">
        <v>362</v>
      </c>
      <c r="X48" s="5">
        <v>46042</v>
      </c>
      <c r="Y48" s="38" t="s">
        <v>363</v>
      </c>
      <c r="Z48" s="38" t="s">
        <v>364</v>
      </c>
      <c r="AA48" s="3" t="s">
        <v>365</v>
      </c>
      <c r="AB48" s="3" t="s">
        <v>365</v>
      </c>
      <c r="AC48" s="3" t="s">
        <v>2</v>
      </c>
      <c r="AD48" s="3" t="s">
        <v>2</v>
      </c>
      <c r="AE48" s="3" t="s">
        <v>2</v>
      </c>
      <c r="AF48" s="75"/>
    </row>
    <row r="49" spans="1:32" ht="31.5" customHeight="1" x14ac:dyDescent="0.2">
      <c r="A49" s="23" t="s">
        <v>79</v>
      </c>
      <c r="B49" s="79" t="s">
        <v>569</v>
      </c>
      <c r="C49" s="20" t="s">
        <v>177</v>
      </c>
      <c r="D49" s="20" t="s">
        <v>0</v>
      </c>
      <c r="E49" s="72" t="s">
        <v>244</v>
      </c>
      <c r="F49" s="73" t="s">
        <v>366</v>
      </c>
      <c r="G49" s="6" t="s">
        <v>367</v>
      </c>
      <c r="H49" s="73" t="s">
        <v>368</v>
      </c>
      <c r="I49" s="21">
        <v>-5243</v>
      </c>
      <c r="J49" s="73" t="s">
        <v>119</v>
      </c>
      <c r="K49" s="73">
        <v>50</v>
      </c>
      <c r="L49" s="73" t="s">
        <v>369</v>
      </c>
      <c r="M49" s="6" t="s">
        <v>370</v>
      </c>
      <c r="N49" s="73">
        <v>865</v>
      </c>
      <c r="O49" s="73" t="s">
        <v>2</v>
      </c>
      <c r="P49" s="73" t="s">
        <v>2</v>
      </c>
      <c r="Q49" s="73" t="s">
        <v>2</v>
      </c>
      <c r="R49" s="73" t="s">
        <v>2</v>
      </c>
      <c r="S49" s="73" t="s">
        <v>122</v>
      </c>
      <c r="T49" s="73" t="s">
        <v>371</v>
      </c>
      <c r="U49" s="73" t="s">
        <v>123</v>
      </c>
      <c r="V49" s="73" t="s">
        <v>146</v>
      </c>
      <c r="W49" s="73" t="s">
        <v>372</v>
      </c>
      <c r="X49" s="73" t="s">
        <v>373</v>
      </c>
      <c r="Y49" s="37" t="s">
        <v>374</v>
      </c>
      <c r="Z49" s="37" t="s">
        <v>375</v>
      </c>
      <c r="AA49" s="73" t="s">
        <v>2</v>
      </c>
      <c r="AB49" s="73" t="s">
        <v>2</v>
      </c>
      <c r="AC49" s="73" t="s">
        <v>2</v>
      </c>
      <c r="AD49" s="73" t="s">
        <v>2</v>
      </c>
      <c r="AE49" s="73" t="s">
        <v>2</v>
      </c>
      <c r="AF49" s="75"/>
    </row>
    <row r="50" spans="1:32" ht="25.5" x14ac:dyDescent="0.2">
      <c r="A50" s="23" t="s">
        <v>79</v>
      </c>
      <c r="B50" s="79" t="s">
        <v>569</v>
      </c>
      <c r="C50" s="19" t="s">
        <v>178</v>
      </c>
      <c r="D50" s="19" t="s">
        <v>0</v>
      </c>
      <c r="E50" s="2" t="s">
        <v>222</v>
      </c>
      <c r="F50" s="3" t="s">
        <v>36</v>
      </c>
      <c r="G50" s="32" t="s">
        <v>35</v>
      </c>
      <c r="H50" s="24" t="s">
        <v>376</v>
      </c>
      <c r="I50" s="22">
        <v>-13124</v>
      </c>
      <c r="J50" s="3" t="s">
        <v>144</v>
      </c>
      <c r="K50" s="3">
        <v>50</v>
      </c>
      <c r="L50" s="32" t="s">
        <v>377</v>
      </c>
      <c r="M50" s="32" t="s">
        <v>378</v>
      </c>
      <c r="N50" s="3">
        <v>867</v>
      </c>
      <c r="O50" s="3" t="s">
        <v>226</v>
      </c>
      <c r="P50" s="3" t="s">
        <v>141</v>
      </c>
      <c r="Q50" s="3"/>
      <c r="R50" s="3" t="s">
        <v>2</v>
      </c>
      <c r="S50" s="3" t="s">
        <v>122</v>
      </c>
      <c r="T50" s="3" t="s">
        <v>379</v>
      </c>
      <c r="U50" s="3" t="s">
        <v>123</v>
      </c>
      <c r="V50" s="3" t="s">
        <v>146</v>
      </c>
      <c r="W50" s="3" t="s">
        <v>380</v>
      </c>
      <c r="X50" s="5">
        <v>45148</v>
      </c>
      <c r="Y50" s="38" t="s">
        <v>381</v>
      </c>
      <c r="Z50" s="38" t="s">
        <v>382</v>
      </c>
      <c r="AA50" s="3" t="s">
        <v>2</v>
      </c>
      <c r="AB50" s="3" t="s">
        <v>2</v>
      </c>
      <c r="AC50" s="3" t="s">
        <v>2</v>
      </c>
      <c r="AD50" s="3" t="s">
        <v>2</v>
      </c>
      <c r="AE50" s="3" t="s">
        <v>2</v>
      </c>
      <c r="AF50" s="75"/>
    </row>
    <row r="51" spans="1:32" ht="25.5" customHeight="1" x14ac:dyDescent="0.2">
      <c r="A51" s="23" t="s">
        <v>79</v>
      </c>
      <c r="B51" s="79" t="s">
        <v>569</v>
      </c>
      <c r="C51" s="20" t="s">
        <v>179</v>
      </c>
      <c r="D51" s="20" t="s">
        <v>0</v>
      </c>
      <c r="E51" s="72" t="s">
        <v>244</v>
      </c>
      <c r="F51" s="46" t="s">
        <v>38</v>
      </c>
      <c r="G51" s="73" t="s">
        <v>37</v>
      </c>
      <c r="H51" s="73" t="s">
        <v>383</v>
      </c>
      <c r="I51" s="21">
        <v>-11261</v>
      </c>
      <c r="J51" s="73" t="s">
        <v>119</v>
      </c>
      <c r="K51" s="73">
        <v>100</v>
      </c>
      <c r="L51" s="73" t="s">
        <v>384</v>
      </c>
      <c r="M51" s="73" t="s">
        <v>385</v>
      </c>
      <c r="N51" s="73">
        <v>868</v>
      </c>
      <c r="O51" s="73" t="s">
        <v>325</v>
      </c>
      <c r="P51" s="73" t="s">
        <v>219</v>
      </c>
      <c r="Q51" s="73" t="s">
        <v>142</v>
      </c>
      <c r="R51" s="73" t="s">
        <v>2</v>
      </c>
      <c r="S51" s="73" t="s">
        <v>155</v>
      </c>
      <c r="T51" s="26" t="s">
        <v>386</v>
      </c>
      <c r="U51" s="73" t="s">
        <v>123</v>
      </c>
      <c r="V51" s="73" t="s">
        <v>146</v>
      </c>
      <c r="W51" s="73" t="s">
        <v>387</v>
      </c>
      <c r="X51" s="7">
        <v>44761</v>
      </c>
      <c r="Y51" s="37" t="s">
        <v>388</v>
      </c>
      <c r="Z51" s="37" t="s">
        <v>389</v>
      </c>
      <c r="AA51" s="9" t="s">
        <v>2</v>
      </c>
      <c r="AB51" s="73" t="s">
        <v>2</v>
      </c>
      <c r="AC51" s="73" t="s">
        <v>2</v>
      </c>
      <c r="AD51" s="73" t="s">
        <v>2</v>
      </c>
      <c r="AE51" s="73" t="s">
        <v>2</v>
      </c>
      <c r="AF51" s="75"/>
    </row>
    <row r="52" spans="1:32" ht="37.5" customHeight="1" x14ac:dyDescent="0.2">
      <c r="A52" s="23" t="s">
        <v>79</v>
      </c>
      <c r="B52" s="79" t="s">
        <v>569</v>
      </c>
      <c r="C52" s="19" t="s">
        <v>180</v>
      </c>
      <c r="D52" s="19" t="s">
        <v>0</v>
      </c>
      <c r="E52" s="2" t="s">
        <v>244</v>
      </c>
      <c r="F52" s="15" t="s">
        <v>40</v>
      </c>
      <c r="G52" s="3" t="s">
        <v>39</v>
      </c>
      <c r="H52" s="3" t="s">
        <v>390</v>
      </c>
      <c r="I52" s="3" t="s">
        <v>391</v>
      </c>
      <c r="J52" s="3" t="s">
        <v>144</v>
      </c>
      <c r="K52" s="3">
        <v>200</v>
      </c>
      <c r="L52" s="32" t="s">
        <v>392</v>
      </c>
      <c r="M52" s="32" t="s">
        <v>393</v>
      </c>
      <c r="N52" s="3">
        <v>889</v>
      </c>
      <c r="O52" s="3" t="s">
        <v>226</v>
      </c>
      <c r="P52" s="3" t="s">
        <v>141</v>
      </c>
      <c r="Q52" s="3" t="s">
        <v>359</v>
      </c>
      <c r="R52" s="3" t="s">
        <v>165</v>
      </c>
      <c r="S52" s="3" t="s">
        <v>166</v>
      </c>
      <c r="T52" s="32" t="s">
        <v>394</v>
      </c>
      <c r="U52" s="3" t="s">
        <v>123</v>
      </c>
      <c r="V52" s="3" t="s">
        <v>143</v>
      </c>
      <c r="W52" s="3" t="s">
        <v>395</v>
      </c>
      <c r="X52" s="13">
        <v>46058</v>
      </c>
      <c r="Y52" s="38" t="s">
        <v>396</v>
      </c>
      <c r="Z52" s="38"/>
      <c r="AA52" s="10"/>
      <c r="AB52" s="3" t="s">
        <v>2</v>
      </c>
      <c r="AC52" s="3" t="s">
        <v>2</v>
      </c>
      <c r="AD52" s="3" t="s">
        <v>2</v>
      </c>
      <c r="AE52" s="3" t="s">
        <v>2</v>
      </c>
      <c r="AF52" s="75"/>
    </row>
    <row r="53" spans="1:32" ht="25.5" customHeight="1" x14ac:dyDescent="0.2">
      <c r="A53" s="23" t="s">
        <v>79</v>
      </c>
      <c r="B53" s="79" t="s">
        <v>569</v>
      </c>
      <c r="C53" s="20" t="s">
        <v>181</v>
      </c>
      <c r="D53" s="20" t="s">
        <v>0</v>
      </c>
      <c r="E53" s="72" t="s">
        <v>244</v>
      </c>
      <c r="F53" s="12" t="s">
        <v>42</v>
      </c>
      <c r="G53" s="73" t="s">
        <v>41</v>
      </c>
      <c r="H53" s="73" t="s">
        <v>397</v>
      </c>
      <c r="I53" s="21">
        <v>-10329</v>
      </c>
      <c r="J53" s="73" t="s">
        <v>144</v>
      </c>
      <c r="K53" s="73">
        <v>100</v>
      </c>
      <c r="L53" s="73" t="s">
        <v>398</v>
      </c>
      <c r="M53" s="34" t="s">
        <v>399</v>
      </c>
      <c r="N53" s="73">
        <v>866</v>
      </c>
      <c r="O53" s="73" t="s">
        <v>226</v>
      </c>
      <c r="P53" s="73" t="s">
        <v>116</v>
      </c>
      <c r="Q53" s="73" t="s">
        <v>116</v>
      </c>
      <c r="R53" s="73" t="s">
        <v>298</v>
      </c>
      <c r="S53" s="73" t="s">
        <v>400</v>
      </c>
      <c r="T53" s="28" t="s">
        <v>401</v>
      </c>
      <c r="U53" s="73" t="s">
        <v>123</v>
      </c>
      <c r="V53" s="73" t="s">
        <v>146</v>
      </c>
      <c r="W53" s="73" t="s">
        <v>402</v>
      </c>
      <c r="X53" s="11">
        <v>45224</v>
      </c>
      <c r="Y53" s="37" t="s">
        <v>403</v>
      </c>
      <c r="Z53" s="37" t="s">
        <v>404</v>
      </c>
      <c r="AA53" s="73" t="s">
        <v>157</v>
      </c>
      <c r="AB53" s="9" t="s">
        <v>405</v>
      </c>
      <c r="AC53" s="73" t="s">
        <v>406</v>
      </c>
      <c r="AD53" s="73" t="s">
        <v>406</v>
      </c>
      <c r="AE53" s="73" t="s">
        <v>406</v>
      </c>
      <c r="AF53" s="75"/>
    </row>
    <row r="54" spans="1:32" ht="27.75" customHeight="1" x14ac:dyDescent="0.2">
      <c r="A54" s="23" t="s">
        <v>79</v>
      </c>
      <c r="B54" s="79" t="s">
        <v>569</v>
      </c>
      <c r="C54" s="19" t="s">
        <v>182</v>
      </c>
      <c r="D54" s="19" t="s">
        <v>0</v>
      </c>
      <c r="E54" s="2" t="s">
        <v>244</v>
      </c>
      <c r="F54" s="15" t="s">
        <v>44</v>
      </c>
      <c r="G54" s="3" t="s">
        <v>43</v>
      </c>
      <c r="H54" s="3" t="s">
        <v>407</v>
      </c>
      <c r="I54" s="22" t="s">
        <v>408</v>
      </c>
      <c r="J54" s="3" t="s">
        <v>119</v>
      </c>
      <c r="K54" s="3">
        <v>100</v>
      </c>
      <c r="L54" s="32" t="s">
        <v>409</v>
      </c>
      <c r="M54" s="35" t="s">
        <v>410</v>
      </c>
      <c r="N54" s="3">
        <v>880</v>
      </c>
      <c r="O54" s="3" t="s">
        <v>325</v>
      </c>
      <c r="P54" s="3" t="s">
        <v>219</v>
      </c>
      <c r="Q54" s="3" t="s">
        <v>411</v>
      </c>
      <c r="R54" s="3" t="s">
        <v>412</v>
      </c>
      <c r="S54" s="3" t="s">
        <v>150</v>
      </c>
      <c r="T54" s="3"/>
      <c r="U54" s="3" t="s">
        <v>123</v>
      </c>
      <c r="V54" s="3" t="s">
        <v>143</v>
      </c>
      <c r="W54" s="3" t="s">
        <v>413</v>
      </c>
      <c r="X54" s="13">
        <v>45737</v>
      </c>
      <c r="Y54" s="38" t="s">
        <v>414</v>
      </c>
      <c r="Z54" s="38" t="s">
        <v>415</v>
      </c>
      <c r="AA54" s="10" t="s">
        <v>2</v>
      </c>
      <c r="AB54" s="10" t="s">
        <v>2</v>
      </c>
      <c r="AC54" s="10" t="s">
        <v>2</v>
      </c>
      <c r="AD54" s="10" t="s">
        <v>2</v>
      </c>
      <c r="AE54" s="10" t="s">
        <v>2</v>
      </c>
      <c r="AF54" s="75"/>
    </row>
    <row r="55" spans="1:32" ht="26.25" customHeight="1" x14ac:dyDescent="0.2">
      <c r="A55" s="23" t="s">
        <v>79</v>
      </c>
      <c r="B55" s="79" t="s">
        <v>569</v>
      </c>
      <c r="C55" s="20" t="s">
        <v>183</v>
      </c>
      <c r="D55" s="20" t="s">
        <v>0</v>
      </c>
      <c r="E55" s="72" t="s">
        <v>244</v>
      </c>
      <c r="F55" s="12" t="s">
        <v>46</v>
      </c>
      <c r="G55" s="73" t="s">
        <v>45</v>
      </c>
      <c r="H55" s="73" t="s">
        <v>416</v>
      </c>
      <c r="I55" s="9" t="s">
        <v>220</v>
      </c>
      <c r="J55" s="73" t="s">
        <v>119</v>
      </c>
      <c r="K55" s="73">
        <v>50</v>
      </c>
      <c r="L55" s="34" t="s">
        <v>417</v>
      </c>
      <c r="M55" s="34" t="s">
        <v>418</v>
      </c>
      <c r="N55" s="73">
        <v>871</v>
      </c>
      <c r="O55" s="73" t="s">
        <v>252</v>
      </c>
      <c r="P55" s="73" t="s">
        <v>219</v>
      </c>
      <c r="Q55" s="73" t="s">
        <v>142</v>
      </c>
      <c r="R55" s="73" t="s">
        <v>2</v>
      </c>
      <c r="S55" s="73" t="s">
        <v>122</v>
      </c>
      <c r="T55" s="28" t="s">
        <v>419</v>
      </c>
      <c r="U55" s="73" t="s">
        <v>123</v>
      </c>
      <c r="V55" s="73" t="s">
        <v>146</v>
      </c>
      <c r="W55" s="73" t="s">
        <v>420</v>
      </c>
      <c r="X55" s="11">
        <v>45239</v>
      </c>
      <c r="Y55" s="37" t="s">
        <v>421</v>
      </c>
      <c r="Z55" s="37" t="s">
        <v>218</v>
      </c>
      <c r="AA55" s="9" t="s">
        <v>2</v>
      </c>
      <c r="AB55" s="9" t="s">
        <v>2</v>
      </c>
      <c r="AC55" s="9" t="s">
        <v>2</v>
      </c>
      <c r="AD55" s="9" t="s">
        <v>2</v>
      </c>
      <c r="AE55" s="9" t="s">
        <v>2</v>
      </c>
      <c r="AF55" s="75"/>
    </row>
    <row r="56" spans="1:32" ht="38.25" customHeight="1" x14ac:dyDescent="0.2">
      <c r="A56" s="23" t="s">
        <v>79</v>
      </c>
      <c r="B56" s="79" t="s">
        <v>569</v>
      </c>
      <c r="C56" s="19" t="s">
        <v>184</v>
      </c>
      <c r="D56" s="19" t="s">
        <v>0</v>
      </c>
      <c r="E56" s="2" t="s">
        <v>244</v>
      </c>
      <c r="F56" s="15" t="s">
        <v>48</v>
      </c>
      <c r="G56" s="3" t="s">
        <v>47</v>
      </c>
      <c r="H56" s="3" t="s">
        <v>422</v>
      </c>
      <c r="I56" s="22">
        <v>-12358</v>
      </c>
      <c r="J56" s="3" t="s">
        <v>119</v>
      </c>
      <c r="K56" s="3">
        <v>50</v>
      </c>
      <c r="L56" s="3" t="s">
        <v>423</v>
      </c>
      <c r="M56" s="3" t="s">
        <v>424</v>
      </c>
      <c r="N56" s="3">
        <v>872</v>
      </c>
      <c r="O56" s="3" t="s">
        <v>226</v>
      </c>
      <c r="P56" s="3" t="s">
        <v>141</v>
      </c>
      <c r="Q56" s="3" t="s">
        <v>121</v>
      </c>
      <c r="R56" s="3" t="s">
        <v>2</v>
      </c>
      <c r="S56" s="3" t="s">
        <v>122</v>
      </c>
      <c r="T56" s="32" t="s">
        <v>425</v>
      </c>
      <c r="U56" s="3" t="s">
        <v>123</v>
      </c>
      <c r="V56" s="3" t="s">
        <v>146</v>
      </c>
      <c r="W56" s="3" t="s">
        <v>426</v>
      </c>
      <c r="X56" s="13">
        <v>45259</v>
      </c>
      <c r="Y56" s="38" t="s">
        <v>427</v>
      </c>
      <c r="Z56" s="38" t="s">
        <v>428</v>
      </c>
      <c r="AA56" s="10" t="s">
        <v>2</v>
      </c>
      <c r="AB56" s="10" t="s">
        <v>2</v>
      </c>
      <c r="AC56" s="10" t="s">
        <v>2</v>
      </c>
      <c r="AD56" s="10" t="s">
        <v>2</v>
      </c>
      <c r="AE56" s="10" t="s">
        <v>2</v>
      </c>
      <c r="AF56" s="75"/>
    </row>
    <row r="57" spans="1:32" ht="49.5" customHeight="1" x14ac:dyDescent="0.2">
      <c r="A57" s="23" t="s">
        <v>79</v>
      </c>
      <c r="B57" s="79" t="s">
        <v>569</v>
      </c>
      <c r="C57" s="20" t="s">
        <v>185</v>
      </c>
      <c r="D57" s="20" t="s">
        <v>0</v>
      </c>
      <c r="E57" s="72" t="s">
        <v>244</v>
      </c>
      <c r="F57" s="73" t="s">
        <v>50</v>
      </c>
      <c r="G57" s="73" t="s">
        <v>49</v>
      </c>
      <c r="H57" s="73" t="s">
        <v>429</v>
      </c>
      <c r="I57" s="21">
        <v>-17423</v>
      </c>
      <c r="J57" s="73" t="s">
        <v>430</v>
      </c>
      <c r="K57" s="73">
        <v>100</v>
      </c>
      <c r="L57" s="36" t="s">
        <v>431</v>
      </c>
      <c r="M57" s="34" t="s">
        <v>432</v>
      </c>
      <c r="N57" s="50" t="s">
        <v>433</v>
      </c>
      <c r="O57" s="73" t="s">
        <v>325</v>
      </c>
      <c r="P57" s="73" t="s">
        <v>141</v>
      </c>
      <c r="Q57" s="73" t="s">
        <v>142</v>
      </c>
      <c r="R57" s="73" t="s">
        <v>2</v>
      </c>
      <c r="S57" s="73" t="s">
        <v>122</v>
      </c>
      <c r="T57" s="9" t="s">
        <v>434</v>
      </c>
      <c r="U57" s="73" t="s">
        <v>123</v>
      </c>
      <c r="V57" s="73" t="s">
        <v>146</v>
      </c>
      <c r="W57" s="73" t="s">
        <v>435</v>
      </c>
      <c r="X57" s="7">
        <v>45064</v>
      </c>
      <c r="Y57" s="37" t="s">
        <v>153</v>
      </c>
      <c r="Z57" s="37" t="s">
        <v>153</v>
      </c>
      <c r="AA57" s="73" t="s">
        <v>157</v>
      </c>
      <c r="AB57" s="73" t="s">
        <v>436</v>
      </c>
      <c r="AC57" s="73" t="s">
        <v>2</v>
      </c>
      <c r="AD57" s="73" t="s">
        <v>2</v>
      </c>
      <c r="AE57" s="73" t="s">
        <v>2</v>
      </c>
      <c r="AF57" s="75"/>
    </row>
    <row r="58" spans="1:32" ht="30.75" customHeight="1" x14ac:dyDescent="0.2">
      <c r="A58" s="23" t="s">
        <v>79</v>
      </c>
      <c r="B58" s="79" t="s">
        <v>569</v>
      </c>
      <c r="C58" s="19" t="s">
        <v>186</v>
      </c>
      <c r="D58" s="19" t="s">
        <v>0</v>
      </c>
      <c r="E58" s="2" t="s">
        <v>244</v>
      </c>
      <c r="F58" s="15" t="s">
        <v>52</v>
      </c>
      <c r="G58" s="3" t="s">
        <v>51</v>
      </c>
      <c r="H58" s="3" t="s">
        <v>437</v>
      </c>
      <c r="I58" s="3" t="s">
        <v>438</v>
      </c>
      <c r="J58" s="3" t="s">
        <v>119</v>
      </c>
      <c r="K58" s="3">
        <v>20</v>
      </c>
      <c r="L58" s="3" t="s">
        <v>439</v>
      </c>
      <c r="M58" s="3" t="s">
        <v>440</v>
      </c>
      <c r="N58" s="3">
        <v>859</v>
      </c>
      <c r="O58" s="3" t="s">
        <v>252</v>
      </c>
      <c r="P58" s="3" t="s">
        <v>141</v>
      </c>
      <c r="Q58" s="3" t="s">
        <v>142</v>
      </c>
      <c r="R58" s="3" t="s">
        <v>2</v>
      </c>
      <c r="S58" s="3" t="s">
        <v>122</v>
      </c>
      <c r="T58" s="3" t="s">
        <v>441</v>
      </c>
      <c r="U58" s="3" t="s">
        <v>123</v>
      </c>
      <c r="V58" s="3" t="s">
        <v>143</v>
      </c>
      <c r="W58" s="3" t="s">
        <v>442</v>
      </c>
      <c r="X58" s="5">
        <v>45510</v>
      </c>
      <c r="Y58" s="38" t="s">
        <v>443</v>
      </c>
      <c r="Z58" s="38" t="s">
        <v>148</v>
      </c>
      <c r="AA58" s="3" t="s">
        <v>2</v>
      </c>
      <c r="AB58" s="3" t="s">
        <v>2</v>
      </c>
      <c r="AC58" s="3" t="s">
        <v>2</v>
      </c>
      <c r="AD58" s="3" t="s">
        <v>2</v>
      </c>
      <c r="AE58" s="3" t="s">
        <v>2</v>
      </c>
      <c r="AF58" s="75"/>
    </row>
    <row r="59" spans="1:32" ht="18" customHeight="1" x14ac:dyDescent="0.2">
      <c r="A59" s="45" t="s">
        <v>79</v>
      </c>
      <c r="B59" s="79" t="s">
        <v>569</v>
      </c>
      <c r="C59" s="20" t="s">
        <v>187</v>
      </c>
      <c r="D59" s="20" t="s">
        <v>0</v>
      </c>
      <c r="E59" s="72" t="s">
        <v>244</v>
      </c>
      <c r="F59" s="9" t="s">
        <v>444</v>
      </c>
      <c r="G59" s="31" t="s">
        <v>445</v>
      </c>
      <c r="H59" s="9" t="s">
        <v>446</v>
      </c>
      <c r="I59" s="26"/>
      <c r="J59" s="9"/>
      <c r="K59" s="73"/>
      <c r="L59" s="9"/>
      <c r="M59" s="9"/>
      <c r="N59" s="8"/>
      <c r="O59" s="73"/>
      <c r="P59" s="9"/>
      <c r="Q59" s="73"/>
      <c r="R59" s="73"/>
      <c r="S59" s="73"/>
      <c r="T59" s="73"/>
      <c r="U59" s="73"/>
      <c r="V59" s="73"/>
      <c r="W59" s="73"/>
      <c r="X59" s="7"/>
      <c r="Y59" s="37"/>
      <c r="Z59" s="37"/>
      <c r="AA59" s="73"/>
      <c r="AB59" s="9"/>
      <c r="AC59" s="73"/>
      <c r="AD59" s="73"/>
      <c r="AE59" s="73"/>
      <c r="AF59" s="75"/>
    </row>
    <row r="60" spans="1:32" ht="27" customHeight="1" x14ac:dyDescent="0.2">
      <c r="A60" s="23" t="s">
        <v>79</v>
      </c>
      <c r="B60" s="79" t="s">
        <v>569</v>
      </c>
      <c r="C60" s="19" t="s">
        <v>188</v>
      </c>
      <c r="D60" s="19" t="s">
        <v>0</v>
      </c>
      <c r="E60" s="2" t="s">
        <v>244</v>
      </c>
      <c r="F60" s="15" t="s">
        <v>54</v>
      </c>
      <c r="G60" s="3" t="s">
        <v>53</v>
      </c>
      <c r="H60" s="3" t="s">
        <v>447</v>
      </c>
      <c r="I60" s="22">
        <v>-11129</v>
      </c>
      <c r="J60" s="10" t="s">
        <v>144</v>
      </c>
      <c r="K60" s="3">
        <v>200</v>
      </c>
      <c r="L60" s="3" t="s">
        <v>448</v>
      </c>
      <c r="M60" s="3" t="s">
        <v>449</v>
      </c>
      <c r="N60" s="3">
        <v>856</v>
      </c>
      <c r="O60" s="3" t="s">
        <v>450</v>
      </c>
      <c r="P60" s="3" t="s">
        <v>151</v>
      </c>
      <c r="Q60" s="3" t="s">
        <v>121</v>
      </c>
      <c r="R60" s="10" t="s">
        <v>156</v>
      </c>
      <c r="S60" s="3" t="s">
        <v>122</v>
      </c>
      <c r="T60" s="10" t="s">
        <v>451</v>
      </c>
      <c r="U60" s="3" t="s">
        <v>123</v>
      </c>
      <c r="V60" s="3" t="s">
        <v>143</v>
      </c>
      <c r="W60" s="10" t="s">
        <v>452</v>
      </c>
      <c r="X60" s="5">
        <v>45609</v>
      </c>
      <c r="Y60" s="40" t="s">
        <v>453</v>
      </c>
      <c r="Z60" s="40" t="s">
        <v>454</v>
      </c>
      <c r="AA60" s="3" t="s">
        <v>157</v>
      </c>
      <c r="AB60" s="3" t="s">
        <v>455</v>
      </c>
      <c r="AC60" s="3" t="s">
        <v>2</v>
      </c>
      <c r="AD60" s="3" t="s">
        <v>2</v>
      </c>
      <c r="AE60" s="3" t="s">
        <v>2</v>
      </c>
      <c r="AF60" s="75"/>
    </row>
    <row r="61" spans="1:32" ht="27" customHeight="1" x14ac:dyDescent="0.2">
      <c r="A61" s="23" t="s">
        <v>79</v>
      </c>
      <c r="B61" s="79" t="s">
        <v>569</v>
      </c>
      <c r="C61" s="20" t="s">
        <v>189</v>
      </c>
      <c r="D61" s="20" t="s">
        <v>0</v>
      </c>
      <c r="E61" s="72" t="s">
        <v>244</v>
      </c>
      <c r="F61" s="12" t="s">
        <v>56</v>
      </c>
      <c r="G61" s="73" t="s">
        <v>55</v>
      </c>
      <c r="H61" s="73" t="s">
        <v>456</v>
      </c>
      <c r="I61" s="73">
        <v>-16</v>
      </c>
      <c r="J61" s="73" t="s">
        <v>119</v>
      </c>
      <c r="K61" s="73">
        <v>100</v>
      </c>
      <c r="L61" s="73" t="s">
        <v>457</v>
      </c>
      <c r="M61" s="73" t="s">
        <v>458</v>
      </c>
      <c r="N61" s="73">
        <v>875</v>
      </c>
      <c r="O61" s="73" t="s">
        <v>226</v>
      </c>
      <c r="P61" s="73" t="s">
        <v>141</v>
      </c>
      <c r="Q61" s="73" t="s">
        <v>158</v>
      </c>
      <c r="R61" s="73" t="s">
        <v>2</v>
      </c>
      <c r="S61" s="73" t="s">
        <v>122</v>
      </c>
      <c r="T61" s="73" t="s">
        <v>459</v>
      </c>
      <c r="U61" s="73" t="s">
        <v>123</v>
      </c>
      <c r="V61" s="73" t="s">
        <v>146</v>
      </c>
      <c r="W61" s="73" t="s">
        <v>460</v>
      </c>
      <c r="X61" s="7">
        <v>45393</v>
      </c>
      <c r="Y61" s="37" t="s">
        <v>461</v>
      </c>
      <c r="Z61" s="37" t="s">
        <v>462</v>
      </c>
      <c r="AA61" s="73" t="s">
        <v>2</v>
      </c>
      <c r="AB61" s="73" t="s">
        <v>2</v>
      </c>
      <c r="AC61" s="73" t="s">
        <v>2</v>
      </c>
      <c r="AD61" s="73" t="s">
        <v>2</v>
      </c>
      <c r="AE61" s="73" t="s">
        <v>2</v>
      </c>
      <c r="AF61" s="75"/>
    </row>
    <row r="62" spans="1:32" ht="24.75" customHeight="1" x14ac:dyDescent="0.2">
      <c r="A62" s="23" t="s">
        <v>79</v>
      </c>
      <c r="B62" s="79" t="s">
        <v>569</v>
      </c>
      <c r="C62" s="19" t="s">
        <v>190</v>
      </c>
      <c r="D62" s="19" t="s">
        <v>0</v>
      </c>
      <c r="E62" s="2" t="s">
        <v>244</v>
      </c>
      <c r="F62" s="15" t="s">
        <v>58</v>
      </c>
      <c r="G62" s="3" t="s">
        <v>57</v>
      </c>
      <c r="H62" s="3" t="s">
        <v>463</v>
      </c>
      <c r="I62" s="3" t="s">
        <v>464</v>
      </c>
      <c r="J62" s="3" t="s">
        <v>144</v>
      </c>
      <c r="K62" s="3">
        <v>200</v>
      </c>
      <c r="L62" s="3" t="s">
        <v>465</v>
      </c>
      <c r="M62" s="3" t="s">
        <v>466</v>
      </c>
      <c r="N62" s="3">
        <v>860</v>
      </c>
      <c r="O62" s="3" t="s">
        <v>226</v>
      </c>
      <c r="P62" s="3" t="s">
        <v>116</v>
      </c>
      <c r="Q62" s="3" t="s">
        <v>116</v>
      </c>
      <c r="R62" s="3" t="s">
        <v>298</v>
      </c>
      <c r="S62" s="3" t="s">
        <v>467</v>
      </c>
      <c r="T62" s="3" t="s">
        <v>468</v>
      </c>
      <c r="U62" s="3" t="s">
        <v>123</v>
      </c>
      <c r="V62" s="3" t="s">
        <v>146</v>
      </c>
      <c r="W62" s="3" t="s">
        <v>469</v>
      </c>
      <c r="X62" s="5">
        <v>45638</v>
      </c>
      <c r="Y62" s="38" t="s">
        <v>470</v>
      </c>
      <c r="Z62" s="38" t="s">
        <v>471</v>
      </c>
      <c r="AA62" s="3" t="s">
        <v>2</v>
      </c>
      <c r="AB62" s="3" t="s">
        <v>2</v>
      </c>
      <c r="AC62" s="3" t="s">
        <v>2</v>
      </c>
      <c r="AD62" s="3" t="s">
        <v>2</v>
      </c>
      <c r="AE62" s="3" t="s">
        <v>2</v>
      </c>
      <c r="AF62" s="75"/>
    </row>
    <row r="63" spans="1:32" ht="26.25" customHeight="1" x14ac:dyDescent="0.2">
      <c r="A63" s="23" t="s">
        <v>79</v>
      </c>
      <c r="B63" s="79" t="s">
        <v>569</v>
      </c>
      <c r="C63" s="20" t="s">
        <v>191</v>
      </c>
      <c r="D63" s="20" t="s">
        <v>0</v>
      </c>
      <c r="E63" s="72" t="s">
        <v>244</v>
      </c>
      <c r="F63" s="12" t="s">
        <v>60</v>
      </c>
      <c r="G63" s="73" t="s">
        <v>59</v>
      </c>
      <c r="H63" s="73" t="s">
        <v>472</v>
      </c>
      <c r="I63" s="73" t="s">
        <v>473</v>
      </c>
      <c r="J63" s="73" t="s">
        <v>119</v>
      </c>
      <c r="K63" s="73">
        <v>50</v>
      </c>
      <c r="L63" s="73" t="s">
        <v>474</v>
      </c>
      <c r="M63" s="73" t="s">
        <v>475</v>
      </c>
      <c r="N63" s="73">
        <v>878</v>
      </c>
      <c r="O63" s="73" t="s">
        <v>476</v>
      </c>
      <c r="P63" s="73" t="s">
        <v>152</v>
      </c>
      <c r="Q63" s="73" t="s">
        <v>142</v>
      </c>
      <c r="R63" s="73" t="s">
        <v>477</v>
      </c>
      <c r="S63" s="73" t="s">
        <v>122</v>
      </c>
      <c r="T63" s="73" t="s">
        <v>478</v>
      </c>
      <c r="U63" s="73" t="s">
        <v>123</v>
      </c>
      <c r="V63" s="73" t="s">
        <v>143</v>
      </c>
      <c r="W63" s="73" t="s">
        <v>479</v>
      </c>
      <c r="X63" s="7">
        <v>45630</v>
      </c>
      <c r="Y63" s="37" t="s">
        <v>480</v>
      </c>
      <c r="Z63" s="37" t="s">
        <v>481</v>
      </c>
      <c r="AA63" s="73" t="s">
        <v>2</v>
      </c>
      <c r="AB63" s="73" t="s">
        <v>2</v>
      </c>
      <c r="AC63" s="73" t="s">
        <v>2</v>
      </c>
      <c r="AD63" s="73" t="s">
        <v>2</v>
      </c>
      <c r="AE63" s="73" t="s">
        <v>2</v>
      </c>
      <c r="AF63" s="75"/>
    </row>
    <row r="64" spans="1:32" ht="25.5" customHeight="1" x14ac:dyDescent="0.2">
      <c r="A64" s="23" t="s">
        <v>79</v>
      </c>
      <c r="B64" s="79" t="s">
        <v>569</v>
      </c>
      <c r="C64" s="19" t="s">
        <v>192</v>
      </c>
      <c r="D64" s="19" t="s">
        <v>0</v>
      </c>
      <c r="E64" s="2" t="s">
        <v>244</v>
      </c>
      <c r="F64" s="15" t="s">
        <v>62</v>
      </c>
      <c r="G64" s="3" t="s">
        <v>61</v>
      </c>
      <c r="H64" s="3" t="s">
        <v>482</v>
      </c>
      <c r="I64" s="3" t="s">
        <v>483</v>
      </c>
      <c r="J64" s="3" t="s">
        <v>484</v>
      </c>
      <c r="K64" s="3">
        <v>50</v>
      </c>
      <c r="L64" s="43" t="s">
        <v>485</v>
      </c>
      <c r="M64" s="43" t="s">
        <v>484</v>
      </c>
      <c r="N64" s="3">
        <v>2896</v>
      </c>
      <c r="O64" s="3" t="s">
        <v>226</v>
      </c>
      <c r="P64" s="3" t="s">
        <v>116</v>
      </c>
      <c r="Q64" s="3" t="s">
        <v>116</v>
      </c>
      <c r="R64" s="3" t="s">
        <v>298</v>
      </c>
      <c r="S64" s="3" t="s">
        <v>486</v>
      </c>
      <c r="T64" s="3" t="s">
        <v>487</v>
      </c>
      <c r="U64" s="3" t="s">
        <v>123</v>
      </c>
      <c r="V64" s="3" t="s">
        <v>146</v>
      </c>
      <c r="W64" s="3" t="s">
        <v>488</v>
      </c>
      <c r="X64" s="5">
        <v>45660</v>
      </c>
      <c r="Y64" s="38" t="s">
        <v>489</v>
      </c>
      <c r="Z64" s="38" t="s">
        <v>490</v>
      </c>
      <c r="AA64" s="3" t="s">
        <v>2</v>
      </c>
      <c r="AB64" s="3" t="s">
        <v>2</v>
      </c>
      <c r="AC64" s="3" t="s">
        <v>2</v>
      </c>
      <c r="AD64" s="3" t="s">
        <v>2</v>
      </c>
      <c r="AE64" s="3" t="s">
        <v>2</v>
      </c>
      <c r="AF64" s="75"/>
    </row>
    <row r="65" spans="1:37" ht="27.75" customHeight="1" x14ac:dyDescent="0.2">
      <c r="A65" s="23" t="s">
        <v>79</v>
      </c>
      <c r="B65" s="79" t="s">
        <v>569</v>
      </c>
      <c r="C65" s="44" t="s">
        <v>193</v>
      </c>
      <c r="D65" s="44" t="s">
        <v>0</v>
      </c>
      <c r="E65" s="17" t="s">
        <v>244</v>
      </c>
      <c r="F65" s="54" t="s">
        <v>64</v>
      </c>
      <c r="G65" s="14" t="s">
        <v>63</v>
      </c>
      <c r="H65" s="14" t="s">
        <v>491</v>
      </c>
      <c r="I65" s="14"/>
      <c r="J65" s="14" t="s">
        <v>119</v>
      </c>
      <c r="K65" s="53">
        <v>200</v>
      </c>
      <c r="L65" s="61" t="s">
        <v>492</v>
      </c>
      <c r="M65" s="52" t="s">
        <v>493</v>
      </c>
      <c r="N65" s="49">
        <v>870</v>
      </c>
      <c r="O65" s="50" t="s">
        <v>263</v>
      </c>
      <c r="P65" s="50"/>
      <c r="Q65" s="50"/>
      <c r="R65" s="50"/>
      <c r="S65" s="50" t="s">
        <v>122</v>
      </c>
      <c r="T65" s="50"/>
      <c r="U65" s="50" t="s">
        <v>123</v>
      </c>
      <c r="V65" s="73" t="s">
        <v>146</v>
      </c>
      <c r="W65" s="50" t="s">
        <v>494</v>
      </c>
      <c r="X65" s="50"/>
      <c r="Y65" s="51" t="s">
        <v>495</v>
      </c>
      <c r="Z65" s="51" t="s">
        <v>496</v>
      </c>
      <c r="AA65" s="50"/>
      <c r="AB65" s="50"/>
      <c r="AC65" s="50"/>
      <c r="AD65" s="50"/>
      <c r="AE65" s="50"/>
      <c r="AF65" s="76"/>
      <c r="AG65" s="62"/>
      <c r="AH65" s="62"/>
      <c r="AI65" s="62"/>
      <c r="AJ65" s="62"/>
      <c r="AK65" s="62"/>
    </row>
    <row r="66" spans="1:37" ht="28.5" customHeight="1" x14ac:dyDescent="0.2">
      <c r="A66" s="23" t="s">
        <v>79</v>
      </c>
      <c r="B66" s="79" t="s">
        <v>569</v>
      </c>
      <c r="C66" s="19" t="s">
        <v>194</v>
      </c>
      <c r="D66" s="19" t="s">
        <v>0</v>
      </c>
      <c r="E66" s="2" t="s">
        <v>244</v>
      </c>
      <c r="F66" s="15" t="s">
        <v>66</v>
      </c>
      <c r="G66" s="3" t="s">
        <v>65</v>
      </c>
      <c r="H66" s="3" t="s">
        <v>497</v>
      </c>
      <c r="I66" s="3" t="s">
        <v>498</v>
      </c>
      <c r="J66" s="3" t="s">
        <v>119</v>
      </c>
      <c r="K66" s="3">
        <v>300</v>
      </c>
      <c r="L66" s="48" t="s">
        <v>499</v>
      </c>
      <c r="M66" s="48" t="s">
        <v>500</v>
      </c>
      <c r="N66" s="3">
        <v>881</v>
      </c>
      <c r="O66" s="3" t="s">
        <v>341</v>
      </c>
      <c r="P66" s="3" t="s">
        <v>141</v>
      </c>
      <c r="Q66" s="3" t="s">
        <v>152</v>
      </c>
      <c r="R66" s="3" t="s">
        <v>501</v>
      </c>
      <c r="S66" s="3" t="s">
        <v>155</v>
      </c>
      <c r="T66" s="3"/>
      <c r="U66" s="3" t="s">
        <v>123</v>
      </c>
      <c r="V66" s="3" t="s">
        <v>143</v>
      </c>
      <c r="W66" s="3" t="s">
        <v>502</v>
      </c>
      <c r="X66" s="5">
        <v>45756</v>
      </c>
      <c r="Y66" s="38" t="s">
        <v>503</v>
      </c>
      <c r="Z66" s="38" t="s">
        <v>504</v>
      </c>
      <c r="AA66" s="3" t="s">
        <v>2</v>
      </c>
      <c r="AB66" s="3" t="s">
        <v>2</v>
      </c>
      <c r="AC66" s="3" t="s">
        <v>2</v>
      </c>
      <c r="AD66" s="3" t="s">
        <v>2</v>
      </c>
      <c r="AE66" s="3" t="s">
        <v>2</v>
      </c>
      <c r="AF66" s="75"/>
    </row>
    <row r="67" spans="1:37" ht="25.5" customHeight="1" x14ac:dyDescent="0.2">
      <c r="A67" s="23" t="s">
        <v>79</v>
      </c>
      <c r="B67" s="79" t="s">
        <v>569</v>
      </c>
      <c r="C67" s="20" t="s">
        <v>195</v>
      </c>
      <c r="D67" s="20" t="s">
        <v>0</v>
      </c>
      <c r="E67" s="72" t="s">
        <v>244</v>
      </c>
      <c r="F67" s="12" t="s">
        <v>68</v>
      </c>
      <c r="G67" s="73" t="s">
        <v>67</v>
      </c>
      <c r="H67" s="73" t="s">
        <v>505</v>
      </c>
      <c r="I67" s="21">
        <v>-9244</v>
      </c>
      <c r="J67" s="73" t="s">
        <v>164</v>
      </c>
      <c r="K67" s="73">
        <v>0</v>
      </c>
      <c r="L67" s="73" t="s">
        <v>506</v>
      </c>
      <c r="M67" s="73" t="s">
        <v>507</v>
      </c>
      <c r="N67" s="73">
        <v>153</v>
      </c>
      <c r="O67" s="73" t="s">
        <v>317</v>
      </c>
      <c r="P67" s="73" t="s">
        <v>149</v>
      </c>
      <c r="Q67" s="73" t="s">
        <v>121</v>
      </c>
      <c r="R67" s="73" t="s">
        <v>508</v>
      </c>
      <c r="S67" s="73" t="s">
        <v>155</v>
      </c>
      <c r="T67" s="73"/>
      <c r="U67" s="73" t="s">
        <v>123</v>
      </c>
      <c r="V67" s="73" t="s">
        <v>143</v>
      </c>
      <c r="W67" s="73" t="s">
        <v>509</v>
      </c>
      <c r="X67" s="7">
        <v>45624</v>
      </c>
      <c r="Y67" s="37" t="s">
        <v>510</v>
      </c>
      <c r="Z67" s="37" t="s">
        <v>511</v>
      </c>
      <c r="AA67" s="73" t="s">
        <v>2</v>
      </c>
      <c r="AB67" s="73" t="s">
        <v>2</v>
      </c>
      <c r="AC67" s="73" t="s">
        <v>2</v>
      </c>
      <c r="AD67" s="73" t="s">
        <v>2</v>
      </c>
      <c r="AE67" s="73" t="s">
        <v>2</v>
      </c>
      <c r="AF67" s="75"/>
    </row>
    <row r="68" spans="1:37" ht="23.25" customHeight="1" x14ac:dyDescent="0.2">
      <c r="A68" s="23" t="s">
        <v>79</v>
      </c>
      <c r="B68" s="79" t="s">
        <v>569</v>
      </c>
      <c r="C68" s="19" t="s">
        <v>196</v>
      </c>
      <c r="D68" s="19" t="s">
        <v>0</v>
      </c>
      <c r="E68" s="2" t="s">
        <v>244</v>
      </c>
      <c r="F68" s="15" t="s">
        <v>70</v>
      </c>
      <c r="G68" s="3" t="s">
        <v>69</v>
      </c>
      <c r="H68" s="3" t="s">
        <v>512</v>
      </c>
      <c r="I68" s="3" t="s">
        <v>513</v>
      </c>
      <c r="J68" s="3" t="s">
        <v>119</v>
      </c>
      <c r="K68" s="3">
        <v>100</v>
      </c>
      <c r="L68" s="3" t="s">
        <v>514</v>
      </c>
      <c r="M68" s="3" t="s">
        <v>515</v>
      </c>
      <c r="N68" s="3">
        <v>890</v>
      </c>
      <c r="O68" s="3" t="s">
        <v>341</v>
      </c>
      <c r="P68" s="3" t="s">
        <v>141</v>
      </c>
      <c r="Q68" s="3" t="s">
        <v>152</v>
      </c>
      <c r="R68" s="3" t="s">
        <v>501</v>
      </c>
      <c r="S68" s="3" t="s">
        <v>166</v>
      </c>
      <c r="T68" s="3"/>
      <c r="U68" s="3" t="s">
        <v>123</v>
      </c>
      <c r="V68" s="3" t="s">
        <v>143</v>
      </c>
      <c r="W68" s="3" t="s">
        <v>516</v>
      </c>
      <c r="X68" s="5">
        <v>45714</v>
      </c>
      <c r="Y68" s="38" t="s">
        <v>517</v>
      </c>
      <c r="Z68" s="38" t="s">
        <v>335</v>
      </c>
      <c r="AA68" s="3"/>
      <c r="AB68" s="3"/>
      <c r="AC68" s="3"/>
      <c r="AD68" s="3"/>
      <c r="AE68" s="3"/>
      <c r="AF68" s="75"/>
    </row>
    <row r="69" spans="1:37" s="62" customFormat="1" ht="18" customHeight="1" x14ac:dyDescent="0.2">
      <c r="A69" s="23" t="s">
        <v>79</v>
      </c>
      <c r="B69" s="79" t="s">
        <v>569</v>
      </c>
      <c r="C69" s="63" t="s">
        <v>197</v>
      </c>
      <c r="D69" s="63" t="s">
        <v>0</v>
      </c>
      <c r="E69" s="64" t="s">
        <v>244</v>
      </c>
      <c r="F69" s="71" t="s">
        <v>72</v>
      </c>
      <c r="G69" s="50" t="s">
        <v>71</v>
      </c>
      <c r="H69" s="50" t="s">
        <v>518</v>
      </c>
      <c r="I69" s="50" t="s">
        <v>519</v>
      </c>
      <c r="J69" s="50" t="s">
        <v>164</v>
      </c>
      <c r="K69" s="50">
        <v>0</v>
      </c>
      <c r="L69" s="50" t="s">
        <v>520</v>
      </c>
      <c r="M69" s="50" t="s">
        <v>521</v>
      </c>
      <c r="N69" s="50">
        <v>153</v>
      </c>
      <c r="O69" s="50" t="s">
        <v>226</v>
      </c>
      <c r="P69" s="50" t="s">
        <v>152</v>
      </c>
      <c r="Q69" s="50" t="s">
        <v>522</v>
      </c>
      <c r="R69" s="50" t="s">
        <v>523</v>
      </c>
      <c r="S69" s="50" t="s">
        <v>122</v>
      </c>
      <c r="T69" s="50"/>
      <c r="U69" s="50" t="s">
        <v>123</v>
      </c>
      <c r="V69" s="50" t="s">
        <v>143</v>
      </c>
      <c r="W69" s="50" t="s">
        <v>524</v>
      </c>
      <c r="X69" s="7">
        <v>45622</v>
      </c>
      <c r="Y69" s="51" t="s">
        <v>525</v>
      </c>
      <c r="Z69" s="51" t="s">
        <v>526</v>
      </c>
      <c r="AA69" s="50"/>
      <c r="AB69" s="50"/>
      <c r="AC69" s="50"/>
      <c r="AD69" s="50"/>
      <c r="AE69" s="50"/>
      <c r="AF69" s="75"/>
    </row>
    <row r="70" spans="1:37" ht="18" customHeight="1" x14ac:dyDescent="0.2">
      <c r="A70" s="68" t="s">
        <v>100</v>
      </c>
      <c r="B70" s="79" t="s">
        <v>569</v>
      </c>
      <c r="C70" s="19" t="s">
        <v>198</v>
      </c>
      <c r="D70" s="19" t="s">
        <v>0</v>
      </c>
      <c r="E70" s="2" t="s">
        <v>244</v>
      </c>
      <c r="F70" s="15" t="s">
        <v>527</v>
      </c>
      <c r="G70" s="3" t="s">
        <v>528</v>
      </c>
      <c r="H70" s="3" t="s">
        <v>529</v>
      </c>
      <c r="I70" s="3"/>
      <c r="J70" s="3" t="s">
        <v>144</v>
      </c>
      <c r="K70" s="3">
        <v>200</v>
      </c>
      <c r="L70" s="3" t="s">
        <v>530</v>
      </c>
      <c r="M70" s="3" t="s">
        <v>531</v>
      </c>
      <c r="N70" s="3">
        <v>883</v>
      </c>
      <c r="O70" s="3" t="s">
        <v>532</v>
      </c>
      <c r="P70" s="3" t="s">
        <v>147</v>
      </c>
      <c r="Q70" s="3" t="s">
        <v>141</v>
      </c>
      <c r="R70" s="3" t="s">
        <v>533</v>
      </c>
      <c r="S70" s="3" t="s">
        <v>166</v>
      </c>
      <c r="T70" s="3"/>
      <c r="U70" s="3" t="s">
        <v>123</v>
      </c>
      <c r="V70" s="3" t="s">
        <v>143</v>
      </c>
      <c r="W70" s="3"/>
      <c r="X70" s="3"/>
      <c r="Y70" s="38"/>
      <c r="Z70" s="38"/>
      <c r="AA70" s="3"/>
      <c r="AB70" s="3"/>
      <c r="AC70" s="3"/>
      <c r="AD70" s="3"/>
      <c r="AE70" s="3"/>
      <c r="AF70" s="75"/>
    </row>
    <row r="71" spans="1:37" ht="18" customHeight="1" x14ac:dyDescent="0.2">
      <c r="A71" s="68" t="s">
        <v>100</v>
      </c>
      <c r="B71" s="79" t="s">
        <v>569</v>
      </c>
      <c r="C71" s="20" t="s">
        <v>199</v>
      </c>
      <c r="D71" s="20" t="s">
        <v>0</v>
      </c>
      <c r="E71" s="72" t="s">
        <v>244</v>
      </c>
      <c r="F71" s="12" t="s">
        <v>534</v>
      </c>
      <c r="G71" s="73" t="s">
        <v>535</v>
      </c>
      <c r="H71" s="73" t="s">
        <v>536</v>
      </c>
      <c r="I71" s="73"/>
      <c r="J71" s="73" t="s">
        <v>119</v>
      </c>
      <c r="K71" s="73">
        <v>20</v>
      </c>
      <c r="L71" s="73" t="s">
        <v>537</v>
      </c>
      <c r="M71" s="73" t="s">
        <v>538</v>
      </c>
      <c r="N71" s="73">
        <v>884</v>
      </c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37"/>
      <c r="Z71" s="37"/>
      <c r="AA71" s="73"/>
      <c r="AB71" s="73"/>
      <c r="AC71" s="73"/>
      <c r="AD71" s="73"/>
      <c r="AE71" s="73"/>
      <c r="AF71" s="75"/>
    </row>
    <row r="72" spans="1:37" ht="18" customHeight="1" x14ac:dyDescent="0.2">
      <c r="A72" s="18" t="s">
        <v>100</v>
      </c>
      <c r="B72" s="79" t="s">
        <v>569</v>
      </c>
      <c r="C72" s="19" t="s">
        <v>200</v>
      </c>
      <c r="D72" s="19" t="s">
        <v>0</v>
      </c>
      <c r="E72" s="2" t="s">
        <v>244</v>
      </c>
      <c r="F72" s="1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8"/>
      <c r="Z72" s="38"/>
      <c r="AA72" s="3"/>
      <c r="AB72" s="3"/>
      <c r="AC72" s="3"/>
      <c r="AD72" s="3"/>
      <c r="AE72" s="3"/>
      <c r="AF72" s="75"/>
    </row>
    <row r="73" spans="1:37" ht="18" customHeight="1" x14ac:dyDescent="0.2">
      <c r="A73" s="18" t="s">
        <v>100</v>
      </c>
      <c r="B73" s="79" t="s">
        <v>569</v>
      </c>
      <c r="C73" s="20" t="s">
        <v>201</v>
      </c>
      <c r="D73" s="20" t="s">
        <v>0</v>
      </c>
      <c r="E73" s="72" t="s">
        <v>244</v>
      </c>
      <c r="F73" s="12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37"/>
      <c r="Z73" s="37"/>
      <c r="AA73" s="73"/>
      <c r="AB73" s="73"/>
      <c r="AC73" s="73"/>
      <c r="AD73" s="73"/>
      <c r="AE73" s="73"/>
      <c r="AF73" s="75"/>
    </row>
    <row r="74" spans="1:37" ht="18" customHeight="1" x14ac:dyDescent="0.2">
      <c r="A74" s="18" t="s">
        <v>100</v>
      </c>
      <c r="B74" s="79" t="s">
        <v>569</v>
      </c>
      <c r="C74" s="19" t="s">
        <v>202</v>
      </c>
      <c r="D74" s="19" t="s">
        <v>0</v>
      </c>
      <c r="E74" s="2" t="s">
        <v>244</v>
      </c>
      <c r="F74" s="1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8"/>
      <c r="Z74" s="38"/>
      <c r="AA74" s="3"/>
      <c r="AB74" s="3"/>
      <c r="AC74" s="3"/>
      <c r="AD74" s="3"/>
      <c r="AE74" s="3"/>
      <c r="AF74" s="75"/>
    </row>
    <row r="75" spans="1:37" ht="18" customHeight="1" x14ac:dyDescent="0.2">
      <c r="A75" s="18" t="s">
        <v>100</v>
      </c>
      <c r="B75" s="79" t="s">
        <v>569</v>
      </c>
      <c r="C75" s="20" t="s">
        <v>203</v>
      </c>
      <c r="D75" s="20" t="s">
        <v>0</v>
      </c>
      <c r="E75" s="72" t="s">
        <v>244</v>
      </c>
      <c r="F75" s="12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37"/>
      <c r="Z75" s="37"/>
      <c r="AA75" s="73"/>
      <c r="AB75" s="73"/>
      <c r="AC75" s="73"/>
      <c r="AD75" s="73"/>
      <c r="AE75" s="73"/>
      <c r="AF75" s="75"/>
    </row>
    <row r="76" spans="1:37" ht="18" customHeight="1" x14ac:dyDescent="0.2">
      <c r="A76" s="18" t="s">
        <v>100</v>
      </c>
      <c r="B76" s="79" t="s">
        <v>569</v>
      </c>
      <c r="C76" s="19" t="s">
        <v>204</v>
      </c>
      <c r="D76" s="19" t="s">
        <v>0</v>
      </c>
      <c r="E76" s="2" t="s">
        <v>244</v>
      </c>
      <c r="F76" s="1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8"/>
      <c r="Z76" s="38"/>
      <c r="AA76" s="3"/>
      <c r="AB76" s="3"/>
      <c r="AC76" s="3"/>
      <c r="AD76" s="3"/>
      <c r="AE76" s="3"/>
      <c r="AF76" s="75"/>
    </row>
    <row r="77" spans="1:37" ht="18" customHeight="1" x14ac:dyDescent="0.2">
      <c r="A77" s="18" t="s">
        <v>100</v>
      </c>
      <c r="B77" s="79" t="s">
        <v>569</v>
      </c>
      <c r="C77" s="20" t="s">
        <v>205</v>
      </c>
      <c r="D77" s="20" t="s">
        <v>0</v>
      </c>
      <c r="E77" s="72" t="s">
        <v>244</v>
      </c>
      <c r="F77" s="12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37"/>
      <c r="Z77" s="37"/>
      <c r="AA77" s="73"/>
      <c r="AB77" s="73"/>
      <c r="AC77" s="73"/>
      <c r="AD77" s="73"/>
      <c r="AE77" s="73"/>
      <c r="AF77" s="75"/>
    </row>
    <row r="78" spans="1:37" ht="18" customHeight="1" x14ac:dyDescent="0.2">
      <c r="A78" s="18" t="s">
        <v>100</v>
      </c>
      <c r="B78" s="79" t="s">
        <v>569</v>
      </c>
      <c r="C78" s="19" t="s">
        <v>206</v>
      </c>
      <c r="D78" s="19" t="s">
        <v>0</v>
      </c>
      <c r="E78" s="2" t="s">
        <v>244</v>
      </c>
      <c r="F78" s="1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8"/>
      <c r="Z78" s="38"/>
      <c r="AA78" s="3"/>
      <c r="AB78" s="3"/>
      <c r="AC78" s="3"/>
      <c r="AD78" s="3"/>
      <c r="AE78" s="3"/>
      <c r="AF78" s="75"/>
    </row>
    <row r="79" spans="1:37" ht="18" customHeight="1" x14ac:dyDescent="0.2">
      <c r="A79" s="18" t="s">
        <v>100</v>
      </c>
      <c r="B79" s="79" t="s">
        <v>569</v>
      </c>
      <c r="C79" s="20" t="s">
        <v>207</v>
      </c>
      <c r="D79" s="20" t="s">
        <v>0</v>
      </c>
      <c r="E79" s="72" t="s">
        <v>244</v>
      </c>
      <c r="F79" s="12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37"/>
      <c r="Z79" s="37"/>
      <c r="AA79" s="73"/>
      <c r="AB79" s="73"/>
      <c r="AC79" s="73"/>
      <c r="AD79" s="73"/>
      <c r="AE79" s="73"/>
      <c r="AF79" s="75"/>
    </row>
    <row r="80" spans="1:37" ht="18" customHeight="1" x14ac:dyDescent="0.2">
      <c r="A80" s="18" t="s">
        <v>100</v>
      </c>
      <c r="B80" s="79" t="s">
        <v>569</v>
      </c>
      <c r="C80" s="19" t="s">
        <v>208</v>
      </c>
      <c r="D80" s="19" t="s">
        <v>0</v>
      </c>
      <c r="E80" s="2" t="s">
        <v>244</v>
      </c>
      <c r="F80" s="1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8"/>
      <c r="Z80" s="38"/>
      <c r="AA80" s="3"/>
      <c r="AB80" s="3"/>
      <c r="AC80" s="3"/>
      <c r="AD80" s="3"/>
      <c r="AE80" s="3"/>
      <c r="AF80" s="75"/>
    </row>
    <row r="81" spans="1:32" ht="18" customHeight="1" x14ac:dyDescent="0.2">
      <c r="A81" s="18" t="s">
        <v>100</v>
      </c>
      <c r="B81" s="79" t="s">
        <v>569</v>
      </c>
      <c r="C81" s="20" t="s">
        <v>209</v>
      </c>
      <c r="D81" s="20" t="s">
        <v>0</v>
      </c>
      <c r="E81" s="72" t="s">
        <v>244</v>
      </c>
      <c r="F81" s="12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37"/>
      <c r="Z81" s="37"/>
      <c r="AA81" s="73"/>
      <c r="AB81" s="73"/>
      <c r="AC81" s="73"/>
      <c r="AD81" s="73"/>
      <c r="AE81" s="73"/>
      <c r="AF81" s="75"/>
    </row>
    <row r="82" spans="1:32" ht="18" customHeight="1" x14ac:dyDescent="0.2">
      <c r="A82" s="18" t="s">
        <v>100</v>
      </c>
      <c r="B82" s="79" t="s">
        <v>569</v>
      </c>
      <c r="C82" s="19" t="s">
        <v>210</v>
      </c>
      <c r="D82" s="19" t="s">
        <v>0</v>
      </c>
      <c r="E82" s="2" t="s">
        <v>244</v>
      </c>
      <c r="F82" s="1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8"/>
      <c r="Z82" s="38"/>
      <c r="AA82" s="3"/>
      <c r="AB82" s="3"/>
      <c r="AC82" s="3"/>
      <c r="AD82" s="3"/>
      <c r="AE82" s="3"/>
      <c r="AF82" s="75"/>
    </row>
    <row r="83" spans="1:32" ht="18" customHeight="1" x14ac:dyDescent="0.2">
      <c r="A83" s="18" t="s">
        <v>100</v>
      </c>
      <c r="B83" s="79" t="s">
        <v>569</v>
      </c>
      <c r="C83" s="20" t="s">
        <v>211</v>
      </c>
      <c r="D83" s="20" t="s">
        <v>0</v>
      </c>
      <c r="E83" s="72" t="s">
        <v>244</v>
      </c>
      <c r="F83" s="12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37"/>
      <c r="Z83" s="37"/>
      <c r="AA83" s="73"/>
      <c r="AB83" s="73"/>
      <c r="AC83" s="73"/>
      <c r="AD83" s="73"/>
      <c r="AE83" s="73"/>
      <c r="AF83" s="75"/>
    </row>
    <row r="84" spans="1:32" ht="18" customHeight="1" x14ac:dyDescent="0.2">
      <c r="A84" s="18" t="s">
        <v>100</v>
      </c>
      <c r="B84" s="79" t="s">
        <v>569</v>
      </c>
      <c r="C84" s="19" t="s">
        <v>212</v>
      </c>
      <c r="D84" s="19" t="s">
        <v>0</v>
      </c>
      <c r="E84" s="2" t="s">
        <v>244</v>
      </c>
      <c r="F84" s="1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8"/>
      <c r="Z84" s="38"/>
      <c r="AA84" s="3"/>
      <c r="AB84" s="3"/>
      <c r="AC84" s="3"/>
      <c r="AD84" s="3"/>
      <c r="AE84" s="3"/>
      <c r="AF84" s="75"/>
    </row>
    <row r="85" spans="1:32" ht="18" customHeight="1" x14ac:dyDescent="0.2">
      <c r="A85" s="18" t="s">
        <v>100</v>
      </c>
      <c r="B85" s="79" t="s">
        <v>569</v>
      </c>
      <c r="C85" s="20" t="s">
        <v>213</v>
      </c>
      <c r="D85" s="20" t="s">
        <v>0</v>
      </c>
      <c r="E85" s="72" t="s">
        <v>244</v>
      </c>
      <c r="F85" s="12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37"/>
      <c r="Z85" s="37"/>
      <c r="AA85" s="73"/>
      <c r="AB85" s="73"/>
      <c r="AC85" s="73"/>
      <c r="AD85" s="73"/>
      <c r="AE85" s="73"/>
      <c r="AF85" s="77"/>
    </row>
    <row r="86" spans="1:32" ht="24" customHeight="1" x14ac:dyDescent="0.2">
      <c r="A86" s="16" t="s">
        <v>99</v>
      </c>
      <c r="B86" s="79" t="s">
        <v>568</v>
      </c>
      <c r="C86" s="19" t="s">
        <v>159</v>
      </c>
      <c r="D86" s="19" t="s">
        <v>1</v>
      </c>
      <c r="E86" s="2" t="s">
        <v>539</v>
      </c>
      <c r="F86" s="15" t="s">
        <v>101</v>
      </c>
      <c r="G86" s="3"/>
      <c r="H86" s="41" t="s">
        <v>540</v>
      </c>
      <c r="I86" s="22">
        <v>-2380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8"/>
      <c r="Z86" s="38"/>
      <c r="AA86" s="3"/>
      <c r="AB86" s="3"/>
      <c r="AC86" s="3"/>
      <c r="AD86" s="3"/>
      <c r="AE86" s="3"/>
      <c r="AF86" s="14"/>
    </row>
    <row r="87" spans="1:32" ht="18" customHeight="1" x14ac:dyDescent="0.2">
      <c r="A87" s="18" t="s">
        <v>131</v>
      </c>
      <c r="B87" s="79" t="s">
        <v>568</v>
      </c>
      <c r="C87" s="20" t="s">
        <v>160</v>
      </c>
      <c r="D87" s="20" t="s">
        <v>1</v>
      </c>
      <c r="E87" s="72" t="s">
        <v>539</v>
      </c>
      <c r="F87" s="12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37"/>
      <c r="Z87" s="37"/>
      <c r="AA87" s="73"/>
      <c r="AB87" s="73"/>
      <c r="AC87" s="73"/>
      <c r="AD87" s="73"/>
      <c r="AE87" s="73"/>
      <c r="AF87" s="14"/>
    </row>
    <row r="88" spans="1:32" ht="18" customHeight="1" x14ac:dyDescent="0.2">
      <c r="A88" s="18" t="s">
        <v>131</v>
      </c>
      <c r="B88" s="79" t="s">
        <v>568</v>
      </c>
      <c r="C88" s="19" t="s">
        <v>161</v>
      </c>
      <c r="D88" s="19" t="s">
        <v>1</v>
      </c>
      <c r="E88" s="2" t="s">
        <v>539</v>
      </c>
      <c r="F88" s="1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8"/>
      <c r="Z88" s="38"/>
      <c r="AA88" s="3"/>
      <c r="AB88" s="3"/>
      <c r="AC88" s="3"/>
      <c r="AD88" s="3"/>
      <c r="AE88" s="3"/>
      <c r="AF88" s="14"/>
    </row>
    <row r="89" spans="1:32" ht="18" customHeight="1" x14ac:dyDescent="0.2">
      <c r="A89" s="18" t="s">
        <v>131</v>
      </c>
      <c r="B89" s="79" t="s">
        <v>568</v>
      </c>
      <c r="C89" s="20" t="s">
        <v>162</v>
      </c>
      <c r="D89" s="20" t="s">
        <v>1</v>
      </c>
      <c r="E89" s="72" t="s">
        <v>539</v>
      </c>
      <c r="F89" s="12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37"/>
      <c r="Z89" s="37"/>
      <c r="AA89" s="73"/>
      <c r="AB89" s="73"/>
      <c r="AC89" s="73"/>
      <c r="AD89" s="73"/>
      <c r="AE89" s="73"/>
      <c r="AF89" s="14"/>
    </row>
    <row r="90" spans="1:32" ht="18" customHeight="1" x14ac:dyDescent="0.2">
      <c r="A90" s="18" t="s">
        <v>131</v>
      </c>
      <c r="B90" s="79" t="s">
        <v>568</v>
      </c>
      <c r="C90" s="19" t="s">
        <v>541</v>
      </c>
      <c r="D90" s="19" t="s">
        <v>1</v>
      </c>
      <c r="E90" s="2" t="s">
        <v>539</v>
      </c>
      <c r="F90" s="1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8"/>
      <c r="Z90" s="38"/>
      <c r="AA90" s="3"/>
      <c r="AB90" s="3"/>
      <c r="AC90" s="3"/>
      <c r="AD90" s="3"/>
      <c r="AE90" s="3"/>
      <c r="AF90" s="14"/>
    </row>
    <row r="91" spans="1:32" ht="18" customHeight="1" x14ac:dyDescent="0.2">
      <c r="A91" s="18" t="s">
        <v>131</v>
      </c>
      <c r="B91" s="79" t="s">
        <v>568</v>
      </c>
      <c r="C91" s="20" t="s">
        <v>542</v>
      </c>
      <c r="D91" s="20" t="s">
        <v>1</v>
      </c>
      <c r="E91" s="72" t="s">
        <v>539</v>
      </c>
      <c r="F91" s="12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37"/>
      <c r="Z91" s="37"/>
      <c r="AA91" s="73"/>
      <c r="AB91" s="73"/>
      <c r="AC91" s="73"/>
      <c r="AD91" s="73"/>
      <c r="AE91" s="73"/>
      <c r="AF91" s="14"/>
    </row>
    <row r="92" spans="1:32" ht="18" customHeight="1" x14ac:dyDescent="0.2">
      <c r="A92" s="18" t="s">
        <v>131</v>
      </c>
      <c r="B92" s="79" t="s">
        <v>568</v>
      </c>
      <c r="C92" s="19" t="s">
        <v>543</v>
      </c>
      <c r="D92" s="19" t="s">
        <v>1</v>
      </c>
      <c r="E92" s="2" t="s">
        <v>539</v>
      </c>
      <c r="F92" s="1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8"/>
      <c r="Z92" s="38"/>
      <c r="AA92" s="3"/>
      <c r="AB92" s="3"/>
      <c r="AC92" s="3"/>
      <c r="AD92" s="3"/>
      <c r="AE92" s="3"/>
      <c r="AF92" s="14"/>
    </row>
    <row r="93" spans="1:32" ht="18" customHeight="1" x14ac:dyDescent="0.2">
      <c r="A93" s="18" t="s">
        <v>131</v>
      </c>
      <c r="B93" s="79" t="s">
        <v>568</v>
      </c>
      <c r="C93" s="20" t="s">
        <v>544</v>
      </c>
      <c r="D93" s="20" t="s">
        <v>1</v>
      </c>
      <c r="E93" s="72" t="s">
        <v>539</v>
      </c>
      <c r="F93" s="12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37"/>
      <c r="Z93" s="37"/>
      <c r="AA93" s="73"/>
      <c r="AB93" s="73"/>
      <c r="AC93" s="73"/>
      <c r="AD93" s="73"/>
      <c r="AE93" s="73"/>
      <c r="AF93" s="14"/>
    </row>
    <row r="94" spans="1:32" ht="18" customHeight="1" x14ac:dyDescent="0.2">
      <c r="A94" s="18" t="s">
        <v>131</v>
      </c>
      <c r="B94" s="79" t="s">
        <v>568</v>
      </c>
      <c r="C94" s="19" t="s">
        <v>545</v>
      </c>
      <c r="D94" s="19" t="s">
        <v>1</v>
      </c>
      <c r="E94" s="2" t="s">
        <v>539</v>
      </c>
      <c r="F94" s="1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8"/>
      <c r="Z94" s="38"/>
      <c r="AA94" s="3"/>
      <c r="AB94" s="3"/>
      <c r="AC94" s="3"/>
      <c r="AD94" s="3"/>
      <c r="AE94" s="3"/>
      <c r="AF94" s="14"/>
    </row>
    <row r="95" spans="1:32" ht="18" customHeight="1" x14ac:dyDescent="0.2">
      <c r="A95" s="18" t="s">
        <v>131</v>
      </c>
      <c r="B95" s="79" t="s">
        <v>568</v>
      </c>
      <c r="C95" s="20" t="s">
        <v>546</v>
      </c>
      <c r="D95" s="20" t="s">
        <v>1</v>
      </c>
      <c r="E95" s="72" t="s">
        <v>539</v>
      </c>
      <c r="F95" s="12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37"/>
      <c r="Z95" s="37"/>
      <c r="AA95" s="73"/>
      <c r="AB95" s="73"/>
      <c r="AC95" s="73"/>
      <c r="AD95" s="73"/>
      <c r="AE95" s="73"/>
      <c r="AF95" s="14"/>
    </row>
    <row r="96" spans="1:32" ht="18" customHeight="1" x14ac:dyDescent="0.2">
      <c r="A96" s="18" t="s">
        <v>131</v>
      </c>
      <c r="B96" s="79" t="s">
        <v>568</v>
      </c>
      <c r="C96" s="19" t="s">
        <v>547</v>
      </c>
      <c r="D96" s="19" t="s">
        <v>1</v>
      </c>
      <c r="E96" s="2" t="s">
        <v>539</v>
      </c>
      <c r="F96" s="1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8"/>
      <c r="Z96" s="38"/>
      <c r="AA96" s="3"/>
      <c r="AB96" s="3"/>
      <c r="AC96" s="3"/>
      <c r="AD96" s="3"/>
      <c r="AE96" s="3"/>
      <c r="AF96" s="14"/>
    </row>
    <row r="97" spans="1:32" ht="18" customHeight="1" x14ac:dyDescent="0.2">
      <c r="A97" s="18" t="s">
        <v>131</v>
      </c>
      <c r="B97" s="79" t="s">
        <v>568</v>
      </c>
      <c r="C97" s="20" t="s">
        <v>548</v>
      </c>
      <c r="D97" s="20" t="s">
        <v>1</v>
      </c>
      <c r="E97" s="72" t="s">
        <v>539</v>
      </c>
      <c r="F97" s="12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37"/>
      <c r="Z97" s="37"/>
      <c r="AA97" s="73"/>
      <c r="AB97" s="73"/>
      <c r="AC97" s="73"/>
      <c r="AD97" s="73"/>
      <c r="AE97" s="73"/>
      <c r="AF97" s="14"/>
    </row>
    <row r="98" spans="1:32" ht="18" customHeight="1" x14ac:dyDescent="0.2">
      <c r="A98" s="18" t="s">
        <v>131</v>
      </c>
      <c r="B98" s="79" t="s">
        <v>568</v>
      </c>
      <c r="C98" s="19" t="s">
        <v>549</v>
      </c>
      <c r="D98" s="19" t="s">
        <v>1</v>
      </c>
      <c r="E98" s="2" t="s">
        <v>539</v>
      </c>
      <c r="F98" s="1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8"/>
      <c r="Z98" s="38"/>
      <c r="AA98" s="3"/>
      <c r="AB98" s="3"/>
      <c r="AC98" s="3"/>
      <c r="AD98" s="3"/>
      <c r="AE98" s="3"/>
      <c r="AF98" s="14"/>
    </row>
    <row r="99" spans="1:32" ht="18" customHeight="1" x14ac:dyDescent="0.2">
      <c r="A99" s="18" t="s">
        <v>131</v>
      </c>
      <c r="B99" s="79" t="s">
        <v>568</v>
      </c>
      <c r="C99" s="20" t="s">
        <v>550</v>
      </c>
      <c r="D99" s="20" t="s">
        <v>1</v>
      </c>
      <c r="E99" s="72" t="s">
        <v>539</v>
      </c>
      <c r="F99" s="12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37"/>
      <c r="Z99" s="37"/>
      <c r="AA99" s="73"/>
      <c r="AB99" s="73"/>
      <c r="AC99" s="73"/>
      <c r="AD99" s="73"/>
      <c r="AE99" s="73"/>
      <c r="AF99" s="14"/>
    </row>
    <row r="100" spans="1:32" ht="18" customHeight="1" x14ac:dyDescent="0.2">
      <c r="A100" s="18" t="s">
        <v>131</v>
      </c>
      <c r="B100" s="79" t="s">
        <v>568</v>
      </c>
      <c r="C100" s="19" t="s">
        <v>551</v>
      </c>
      <c r="D100" s="19" t="s">
        <v>1</v>
      </c>
      <c r="E100" s="2" t="s">
        <v>539</v>
      </c>
      <c r="F100" s="1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8"/>
      <c r="Z100" s="38"/>
      <c r="AA100" s="3"/>
      <c r="AB100" s="3"/>
      <c r="AC100" s="3"/>
      <c r="AD100" s="3"/>
      <c r="AE100" s="3"/>
      <c r="AF100" s="14"/>
    </row>
    <row r="101" spans="1:32" ht="18" customHeight="1" x14ac:dyDescent="0.2">
      <c r="A101" s="18" t="s">
        <v>131</v>
      </c>
      <c r="B101" s="79" t="s">
        <v>568</v>
      </c>
      <c r="C101" s="20" t="s">
        <v>552</v>
      </c>
      <c r="D101" s="20" t="s">
        <v>1</v>
      </c>
      <c r="E101" s="72" t="s">
        <v>539</v>
      </c>
      <c r="F101" s="12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37"/>
      <c r="Z101" s="37"/>
      <c r="AA101" s="73"/>
      <c r="AB101" s="73"/>
      <c r="AC101" s="73"/>
      <c r="AD101" s="73"/>
      <c r="AE101" s="73"/>
      <c r="AF101" s="14"/>
    </row>
    <row r="102" spans="1:32" ht="18" customHeight="1" x14ac:dyDescent="0.2">
      <c r="A102" s="18" t="s">
        <v>131</v>
      </c>
      <c r="B102" s="79" t="s">
        <v>568</v>
      </c>
      <c r="C102" s="19" t="s">
        <v>553</v>
      </c>
      <c r="D102" s="19" t="s">
        <v>1</v>
      </c>
      <c r="E102" s="2" t="s">
        <v>539</v>
      </c>
      <c r="F102" s="1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8"/>
      <c r="Z102" s="38"/>
      <c r="AA102" s="3"/>
      <c r="AB102" s="3"/>
      <c r="AC102" s="3"/>
      <c r="AD102" s="3"/>
      <c r="AE102" s="3"/>
      <c r="AF102" s="14"/>
    </row>
    <row r="103" spans="1:32" ht="18" customHeight="1" x14ac:dyDescent="0.2">
      <c r="A103" s="18" t="s">
        <v>131</v>
      </c>
      <c r="B103" s="79" t="s">
        <v>568</v>
      </c>
      <c r="C103" s="20" t="s">
        <v>554</v>
      </c>
      <c r="D103" s="20" t="s">
        <v>1</v>
      </c>
      <c r="E103" s="72" t="s">
        <v>539</v>
      </c>
      <c r="F103" s="12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37"/>
      <c r="Z103" s="37"/>
      <c r="AA103" s="73"/>
      <c r="AB103" s="73"/>
      <c r="AC103" s="73"/>
      <c r="AD103" s="73"/>
      <c r="AE103" s="73"/>
      <c r="AF103" s="14"/>
    </row>
    <row r="104" spans="1:32" ht="18" customHeight="1" x14ac:dyDescent="0.2">
      <c r="A104" s="18" t="s">
        <v>131</v>
      </c>
      <c r="B104" s="79" t="s">
        <v>568</v>
      </c>
      <c r="C104" s="19" t="s">
        <v>555</v>
      </c>
      <c r="D104" s="19" t="s">
        <v>1</v>
      </c>
      <c r="E104" s="2" t="s">
        <v>539</v>
      </c>
      <c r="F104" s="1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8"/>
      <c r="Z104" s="38"/>
      <c r="AA104" s="3"/>
      <c r="AB104" s="3"/>
      <c r="AC104" s="3"/>
      <c r="AD104" s="3"/>
      <c r="AE104" s="3"/>
      <c r="AF104" s="14"/>
    </row>
    <row r="105" spans="1:32" ht="18" customHeight="1" x14ac:dyDescent="0.2">
      <c r="A105" s="18" t="s">
        <v>131</v>
      </c>
      <c r="B105" s="79" t="s">
        <v>568</v>
      </c>
      <c r="C105" s="20" t="s">
        <v>556</v>
      </c>
      <c r="D105" s="20" t="s">
        <v>1</v>
      </c>
      <c r="E105" s="72" t="s">
        <v>539</v>
      </c>
      <c r="F105" s="12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37"/>
      <c r="Z105" s="37"/>
      <c r="AA105" s="73"/>
      <c r="AB105" s="73"/>
      <c r="AC105" s="73"/>
      <c r="AD105" s="73"/>
      <c r="AE105" s="73"/>
      <c r="AF105" s="14"/>
    </row>
    <row r="106" spans="1:32" ht="18" customHeight="1" x14ac:dyDescent="0.2">
      <c r="A106" s="18" t="s">
        <v>131</v>
      </c>
      <c r="B106" s="79" t="s">
        <v>568</v>
      </c>
      <c r="C106" s="19" t="s">
        <v>557</v>
      </c>
      <c r="D106" s="19" t="s">
        <v>1</v>
      </c>
      <c r="E106" s="2" t="s">
        <v>539</v>
      </c>
      <c r="F106" s="1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8"/>
      <c r="Z106" s="38"/>
      <c r="AA106" s="3"/>
      <c r="AB106" s="3"/>
      <c r="AC106" s="3"/>
      <c r="AD106" s="3"/>
      <c r="AE106" s="3"/>
      <c r="AF106" s="14"/>
    </row>
    <row r="107" spans="1:32" ht="18" customHeight="1" x14ac:dyDescent="0.2">
      <c r="A107" s="18" t="s">
        <v>131</v>
      </c>
      <c r="B107" s="79" t="s">
        <v>568</v>
      </c>
      <c r="C107" s="20" t="s">
        <v>558</v>
      </c>
      <c r="D107" s="20" t="s">
        <v>1</v>
      </c>
      <c r="E107" s="72" t="s">
        <v>539</v>
      </c>
      <c r="F107" s="12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37"/>
      <c r="Z107" s="37"/>
      <c r="AA107" s="73"/>
      <c r="AB107" s="73"/>
      <c r="AC107" s="73"/>
      <c r="AD107" s="73"/>
      <c r="AE107" s="73"/>
      <c r="AF107" s="14"/>
    </row>
    <row r="108" spans="1:32" ht="18" customHeight="1" x14ac:dyDescent="0.2">
      <c r="A108" s="18" t="s">
        <v>131</v>
      </c>
      <c r="B108" s="79" t="s">
        <v>568</v>
      </c>
      <c r="C108" s="19" t="s">
        <v>559</v>
      </c>
      <c r="D108" s="19" t="s">
        <v>1</v>
      </c>
      <c r="E108" s="2" t="s">
        <v>539</v>
      </c>
      <c r="F108" s="1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8"/>
      <c r="Z108" s="38"/>
      <c r="AA108" s="3"/>
      <c r="AB108" s="3"/>
      <c r="AC108" s="3"/>
      <c r="AD108" s="3"/>
      <c r="AE108" s="3"/>
      <c r="AF108" s="14"/>
    </row>
    <row r="109" spans="1:32" ht="18" customHeight="1" x14ac:dyDescent="0.2">
      <c r="A109" s="18" t="s">
        <v>131</v>
      </c>
      <c r="B109" s="79" t="s">
        <v>568</v>
      </c>
      <c r="C109" s="20" t="s">
        <v>560</v>
      </c>
      <c r="D109" s="20" t="s">
        <v>1</v>
      </c>
      <c r="E109" s="72" t="s">
        <v>539</v>
      </c>
      <c r="F109" s="12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37"/>
      <c r="Z109" s="37"/>
      <c r="AA109" s="73"/>
      <c r="AB109" s="73"/>
      <c r="AC109" s="73"/>
      <c r="AD109" s="73"/>
      <c r="AE109" s="73"/>
      <c r="AF109" s="14"/>
    </row>
    <row r="110" spans="1:32" ht="18" customHeight="1" x14ac:dyDescent="0.2">
      <c r="A110" s="18" t="s">
        <v>131</v>
      </c>
      <c r="B110" s="79" t="s">
        <v>568</v>
      </c>
      <c r="C110" s="19" t="s">
        <v>561</v>
      </c>
      <c r="D110" s="19" t="s">
        <v>1</v>
      </c>
      <c r="E110" s="2" t="s">
        <v>539</v>
      </c>
      <c r="F110" s="1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8"/>
      <c r="Z110" s="38"/>
      <c r="AA110" s="3"/>
      <c r="AB110" s="3"/>
      <c r="AC110" s="3"/>
      <c r="AD110" s="3"/>
      <c r="AE110" s="3"/>
      <c r="AF110" s="14"/>
    </row>
    <row r="111" spans="1:32" ht="18" customHeight="1" x14ac:dyDescent="0.2">
      <c r="A111" s="18" t="s">
        <v>131</v>
      </c>
      <c r="B111" s="79" t="s">
        <v>568</v>
      </c>
      <c r="C111" s="20" t="s">
        <v>562</v>
      </c>
      <c r="D111" s="20" t="s">
        <v>1</v>
      </c>
      <c r="E111" s="72" t="s">
        <v>539</v>
      </c>
      <c r="F111" s="12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37"/>
      <c r="Z111" s="37"/>
      <c r="AA111" s="73"/>
      <c r="AB111" s="73"/>
      <c r="AC111" s="73"/>
      <c r="AD111" s="73"/>
      <c r="AE111" s="73"/>
      <c r="AF111" s="14"/>
    </row>
    <row r="112" spans="1:32" ht="18" customHeight="1" x14ac:dyDescent="0.2">
      <c r="A112" s="18" t="s">
        <v>131</v>
      </c>
      <c r="B112" s="79" t="s">
        <v>568</v>
      </c>
      <c r="C112" s="19" t="s">
        <v>563</v>
      </c>
      <c r="D112" s="19" t="s">
        <v>1</v>
      </c>
      <c r="E112" s="2" t="s">
        <v>539</v>
      </c>
      <c r="F112" s="1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8"/>
      <c r="Z112" s="38"/>
      <c r="AA112" s="3"/>
      <c r="AB112" s="3"/>
      <c r="AC112" s="3"/>
      <c r="AD112" s="3"/>
      <c r="AE112" s="3"/>
      <c r="AF112" s="14"/>
    </row>
    <row r="113" spans="1:32" ht="18" customHeight="1" x14ac:dyDescent="0.2">
      <c r="A113" s="18" t="s">
        <v>131</v>
      </c>
      <c r="B113" s="79" t="s">
        <v>568</v>
      </c>
      <c r="C113" s="20" t="s">
        <v>564</v>
      </c>
      <c r="D113" s="20" t="s">
        <v>1</v>
      </c>
      <c r="E113" s="72" t="s">
        <v>539</v>
      </c>
      <c r="F113" s="12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37"/>
      <c r="Z113" s="37"/>
      <c r="AA113" s="73"/>
      <c r="AB113" s="73"/>
      <c r="AC113" s="73"/>
      <c r="AD113" s="73"/>
      <c r="AE113" s="73"/>
      <c r="AF113" s="14"/>
    </row>
    <row r="114" spans="1:32" ht="15.75" hidden="1" customHeight="1" x14ac:dyDescent="0.2">
      <c r="B114" s="79" t="s">
        <v>569</v>
      </c>
    </row>
    <row r="115" spans="1:32" ht="15.75" hidden="1" customHeight="1" x14ac:dyDescent="0.2">
      <c r="B115" s="79" t="s">
        <v>569</v>
      </c>
    </row>
    <row r="116" spans="1:32" ht="15.75" hidden="1" customHeight="1" x14ac:dyDescent="0.2">
      <c r="B116" s="79" t="s">
        <v>569</v>
      </c>
    </row>
    <row r="117" spans="1:32" ht="15.75" hidden="1" customHeight="1" x14ac:dyDescent="0.2">
      <c r="B117" s="79" t="s">
        <v>569</v>
      </c>
    </row>
    <row r="118" spans="1:32" ht="15.75" hidden="1" customHeight="1" x14ac:dyDescent="0.2">
      <c r="B118" s="79" t="s">
        <v>569</v>
      </c>
    </row>
    <row r="119" spans="1:32" ht="15.75" hidden="1" customHeight="1" x14ac:dyDescent="0.2">
      <c r="B119" s="79" t="s">
        <v>569</v>
      </c>
    </row>
    <row r="120" spans="1:32" ht="15.75" hidden="1" customHeight="1" x14ac:dyDescent="0.2">
      <c r="B120" s="79" t="s">
        <v>569</v>
      </c>
    </row>
    <row r="121" spans="1:32" ht="15.75" hidden="1" customHeight="1" x14ac:dyDescent="0.2">
      <c r="B121" s="79" t="s">
        <v>569</v>
      </c>
    </row>
    <row r="122" spans="1:32" ht="15.75" hidden="1" customHeight="1" x14ac:dyDescent="0.2">
      <c r="B122" s="79" t="s">
        <v>569</v>
      </c>
    </row>
    <row r="123" spans="1:32" ht="15.75" hidden="1" customHeight="1" x14ac:dyDescent="0.2">
      <c r="B123" s="79" t="s">
        <v>569</v>
      </c>
    </row>
    <row r="124" spans="1:32" ht="15.75" hidden="1" customHeight="1" x14ac:dyDescent="0.2">
      <c r="B124" s="79" t="s">
        <v>569</v>
      </c>
    </row>
    <row r="125" spans="1:32" ht="15.75" hidden="1" customHeight="1" x14ac:dyDescent="0.2">
      <c r="B125" s="79" t="s">
        <v>569</v>
      </c>
    </row>
    <row r="126" spans="1:32" ht="15.75" hidden="1" customHeight="1" x14ac:dyDescent="0.2">
      <c r="B126" s="79" t="s">
        <v>569</v>
      </c>
    </row>
    <row r="127" spans="1:32" ht="15.75" hidden="1" customHeight="1" x14ac:dyDescent="0.2">
      <c r="B127" s="79" t="s">
        <v>569</v>
      </c>
    </row>
    <row r="128" spans="1:32" ht="15.75" hidden="1" customHeight="1" x14ac:dyDescent="0.2">
      <c r="B128" s="79" t="s">
        <v>569</v>
      </c>
    </row>
    <row r="129" spans="2:2" ht="15.75" hidden="1" customHeight="1" x14ac:dyDescent="0.2">
      <c r="B129" s="79" t="s">
        <v>569</v>
      </c>
    </row>
    <row r="130" spans="2:2" ht="15.75" hidden="1" customHeight="1" x14ac:dyDescent="0.2">
      <c r="B130" s="79" t="s">
        <v>569</v>
      </c>
    </row>
    <row r="131" spans="2:2" ht="15.75" hidden="1" customHeight="1" x14ac:dyDescent="0.2">
      <c r="B131" s="79" t="s">
        <v>569</v>
      </c>
    </row>
    <row r="132" spans="2:2" ht="15.75" hidden="1" customHeight="1" x14ac:dyDescent="0.2">
      <c r="B132" s="79" t="s">
        <v>569</v>
      </c>
    </row>
    <row r="133" spans="2:2" ht="15.75" hidden="1" customHeight="1" x14ac:dyDescent="0.2">
      <c r="B133" s="79" t="s">
        <v>569</v>
      </c>
    </row>
    <row r="134" spans="2:2" ht="15.75" hidden="1" customHeight="1" x14ac:dyDescent="0.2">
      <c r="B134" s="79" t="s">
        <v>569</v>
      </c>
    </row>
    <row r="135" spans="2:2" ht="15.75" hidden="1" customHeight="1" x14ac:dyDescent="0.2">
      <c r="B135" s="79" t="s">
        <v>569</v>
      </c>
    </row>
    <row r="136" spans="2:2" ht="15.75" hidden="1" customHeight="1" x14ac:dyDescent="0.2">
      <c r="B136" s="79" t="s">
        <v>569</v>
      </c>
    </row>
    <row r="137" spans="2:2" ht="15.75" hidden="1" customHeight="1" x14ac:dyDescent="0.2">
      <c r="B137" s="79" t="s">
        <v>569</v>
      </c>
    </row>
    <row r="138" spans="2:2" ht="15.75" hidden="1" customHeight="1" x14ac:dyDescent="0.2">
      <c r="B138" s="79" t="s">
        <v>569</v>
      </c>
    </row>
    <row r="139" spans="2:2" ht="15.75" hidden="1" customHeight="1" x14ac:dyDescent="0.2">
      <c r="B139" s="80"/>
    </row>
  </sheetData>
  <autoFilter ref="A1:AK113" xr:uid="{00000000-0001-0000-0500-000000000000}"/>
  <mergeCells count="1">
    <mergeCell ref="AF2:AF85"/>
  </mergeCells>
  <dataValidations count="1">
    <dataValidation type="list" showInputMessage="1" showErrorMessage="1" sqref="B2:B138" xr:uid="{FF74AB2B-AD28-4DD2-9154-E42F39FF4611}">
      <formula1>"Gigabit,TenGigabit,25Gigabit,100Gigabit"</formula1>
    </dataValidation>
  </dataValidations>
  <hyperlinks>
    <hyperlink ref="M65" r:id="rId1" xr:uid="{8F2D09DE-B5BD-45A6-B3B7-1FCBF29ABEF8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HUB2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Héctor Uribe Montaño</cp:lastModifiedBy>
  <cp:revision/>
  <dcterms:created xsi:type="dcterms:W3CDTF">2025-05-31T01:28:29Z</dcterms:created>
  <dcterms:modified xsi:type="dcterms:W3CDTF">2026-05-25T02:45:59Z</dcterms:modified>
  <cp:category/>
  <cp:contentStatus/>
</cp:coreProperties>
</file>